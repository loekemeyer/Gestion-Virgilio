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AAA COMERCIO EXTERIOR\1 - IMPORTACIONES\AAA 12 Cuenta Corriente\"/>
    </mc:Choice>
  </mc:AlternateContent>
  <xr:revisionPtr revIDLastSave="0" documentId="13_ncr:1_{63AB4083-5F00-49FD-A671-DC147E1209EB}" xr6:coauthVersionLast="47" xr6:coauthVersionMax="47" xr10:uidLastSave="{00000000-0000-0000-0000-000000000000}"/>
  <bookViews>
    <workbookView xWindow="390" yWindow="390" windowWidth="16275" windowHeight="15510" xr2:uid="{C3265A39-0E07-4549-B7A0-02F23DBB66F8}"/>
  </bookViews>
  <sheets>
    <sheet name="Cuenta Corriente NTL" sheetId="1" r:id="rId1"/>
    <sheet name="Cuenta Corriente CH" sheetId="7" r:id="rId2"/>
    <sheet name="Ownland" sheetId="3" r:id="rId3"/>
    <sheet name="Frontier" sheetId="11" r:id="rId4"/>
    <sheet name="Becky" sheetId="12" r:id="rId5"/>
    <sheet name="Resumen" sheetId="5" state="hidden" r:id="rId6"/>
  </sheets>
  <definedNames>
    <definedName name="_xlnm._FilterDatabase" localSheetId="1" hidden="1">'Cuenta Corriente CH'!$A$7:$I$73</definedName>
    <definedName name="_xlnm._FilterDatabase" localSheetId="0" hidden="1">'Cuenta Corriente NTL'!$A$7:$I$186</definedName>
    <definedName name="_xlnm.Print_Titles" localSheetId="1">'Cuenta Corriente CH'!$7:$7</definedName>
    <definedName name="_xlnm.Print_Titles" localSheetId="0">'Cuenta Corriente NTL'!$7:$7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183" i="1" l="1"/>
  <c r="P178" i="1"/>
  <c r="P176" i="1"/>
  <c r="M175" i="1"/>
  <c r="M177" i="1" s="1"/>
  <c r="D199" i="1"/>
  <c r="C177" i="1" l="1"/>
  <c r="D200" i="1"/>
  <c r="C182" i="1"/>
  <c r="E3" i="12"/>
  <c r="B3" i="12"/>
  <c r="C169" i="1"/>
  <c r="C171" i="1" l="1"/>
  <c r="C172" i="1" s="1"/>
  <c r="C164" i="1"/>
  <c r="C165" i="1" s="1"/>
  <c r="C167" i="1"/>
  <c r="J9" i="3" l="1"/>
  <c r="K9" i="3"/>
  <c r="M9" i="3"/>
  <c r="C158" i="1" l="1"/>
  <c r="C149" i="1"/>
  <c r="B8" i="11"/>
  <c r="M6" i="11"/>
  <c r="K6" i="11"/>
  <c r="J6" i="11"/>
  <c r="M5" i="11"/>
  <c r="K5" i="11"/>
  <c r="J5" i="11"/>
  <c r="M4" i="11"/>
  <c r="K4" i="11"/>
  <c r="J4" i="11"/>
  <c r="D4" i="11"/>
  <c r="D5" i="11" s="1"/>
  <c r="D6" i="11" s="1"/>
  <c r="D7" i="11" s="1"/>
  <c r="D8" i="11" s="1"/>
  <c r="D9" i="11" s="1"/>
  <c r="D10" i="11" s="1"/>
  <c r="D11" i="11" s="1"/>
  <c r="D12" i="11" s="1"/>
  <c r="D13" i="11" s="1"/>
  <c r="D14" i="11" s="1"/>
  <c r="D15" i="11" s="1"/>
  <c r="D16" i="11" s="1"/>
  <c r="D17" i="11" s="1"/>
  <c r="M2" i="11" l="1"/>
  <c r="K2" i="11"/>
  <c r="J2" i="11"/>
  <c r="D136" i="1"/>
  <c r="C133" i="1"/>
  <c r="C134" i="1" s="1"/>
  <c r="C131" i="1"/>
  <c r="C129" i="1"/>
  <c r="D137" i="1"/>
  <c r="C138" i="1" s="1"/>
  <c r="C139" i="1" l="1"/>
  <c r="C148" i="1"/>
  <c r="C126" i="1" l="1"/>
  <c r="C127" i="1" s="1"/>
  <c r="C124" i="1"/>
  <c r="M8" i="3"/>
  <c r="C76" i="7"/>
  <c r="C70" i="7"/>
  <c r="C79" i="7"/>
  <c r="C67" i="7"/>
  <c r="C122" i="1"/>
  <c r="J120" i="1"/>
  <c r="D31" i="7"/>
  <c r="K2" i="7" s="1"/>
  <c r="E9" i="7"/>
  <c r="E10" i="7" s="1"/>
  <c r="E11" i="7" s="1"/>
  <c r="E12" i="7" s="1"/>
  <c r="E13" i="7" s="1"/>
  <c r="E14" i="7" s="1"/>
  <c r="E15" i="7" s="1"/>
  <c r="E16" i="7" s="1"/>
  <c r="E17" i="7" s="1"/>
  <c r="E18" i="7" s="1"/>
  <c r="E19" i="7" s="1"/>
  <c r="E20" i="7" s="1"/>
  <c r="E21" i="7" s="1"/>
  <c r="C22" i="7"/>
  <c r="C24" i="7"/>
  <c r="C40" i="7"/>
  <c r="C42" i="7"/>
  <c r="C44" i="7"/>
  <c r="C46" i="7"/>
  <c r="D49" i="7"/>
  <c r="C50" i="7" s="1"/>
  <c r="C53" i="7"/>
  <c r="C73" i="7"/>
  <c r="L3" i="7"/>
  <c r="K3" i="7"/>
  <c r="L2" i="7"/>
  <c r="L2" i="1"/>
  <c r="K3" i="1"/>
  <c r="K2" i="1"/>
  <c r="Q2" i="1" s="1"/>
  <c r="Q3" i="1" s="1"/>
  <c r="C93" i="1"/>
  <c r="C102" i="1"/>
  <c r="M7" i="3"/>
  <c r="C107" i="1"/>
  <c r="C114" i="1"/>
  <c r="P11" i="3"/>
  <c r="B17" i="3"/>
  <c r="J8" i="3" s="1"/>
  <c r="B16" i="3"/>
  <c r="K8" i="3"/>
  <c r="E22" i="7" l="1"/>
  <c r="E23" i="7" s="1"/>
  <c r="E24" i="7" s="1"/>
  <c r="E25" i="7" s="1"/>
  <c r="E26" i="7" s="1"/>
  <c r="E27" i="7" s="1"/>
  <c r="E28" i="7" s="1"/>
  <c r="E29" i="7" s="1"/>
  <c r="E30" i="7" s="1"/>
  <c r="E31" i="7" s="1"/>
  <c r="E32" i="7" s="1"/>
  <c r="E33" i="7" s="1"/>
  <c r="E34" i="7" s="1"/>
  <c r="E35" i="7" s="1"/>
  <c r="E36" i="7" s="1"/>
  <c r="E37" i="7" s="1"/>
  <c r="E38" i="7" s="1"/>
  <c r="E39" i="7" s="1"/>
  <c r="E40" i="7" s="1"/>
  <c r="E41" i="7" s="1"/>
  <c r="E42" i="7" s="1"/>
  <c r="E43" i="7" s="1"/>
  <c r="E44" i="7" s="1"/>
  <c r="E45" i="7" s="1"/>
  <c r="E46" i="7" s="1"/>
  <c r="E47" i="7" s="1"/>
  <c r="E48" i="7" s="1"/>
  <c r="E49" i="7" s="1"/>
  <c r="E50" i="7" s="1"/>
  <c r="E51" i="7" s="1"/>
  <c r="E52" i="7" s="1"/>
  <c r="E53" i="7" s="1"/>
  <c r="E54" i="7" s="1"/>
  <c r="E55" i="7" s="1"/>
  <c r="E56" i="7" s="1"/>
  <c r="E57" i="7" s="1"/>
  <c r="E58" i="7" s="1"/>
  <c r="E59" i="7" s="1"/>
  <c r="E60" i="7" s="1"/>
  <c r="E61" i="7" s="1"/>
  <c r="E62" i="7" s="1"/>
  <c r="E63" i="7" s="1"/>
  <c r="E64" i="7" s="1"/>
  <c r="E65" i="7" s="1"/>
  <c r="E66" i="7" s="1"/>
  <c r="E67" i="7" s="1"/>
  <c r="E68" i="7" s="1"/>
  <c r="E69" i="7" s="1"/>
  <c r="E70" i="7" s="1"/>
  <c r="E71" i="7" s="1"/>
  <c r="E72" i="7" s="1"/>
  <c r="E73" i="7" s="1"/>
  <c r="E74" i="7" s="1"/>
  <c r="E75" i="7" s="1"/>
  <c r="E76" i="7" s="1"/>
  <c r="K4" i="7"/>
  <c r="L4" i="7"/>
  <c r="L6" i="7" s="1"/>
  <c r="M2" i="7"/>
  <c r="N2" i="7" s="1"/>
  <c r="M4" i="7"/>
  <c r="M3" i="7"/>
  <c r="N3" i="7" s="1"/>
  <c r="J6" i="3"/>
  <c r="E77" i="7" l="1"/>
  <c r="E78" i="7" s="1"/>
  <c r="E79" i="7" s="1"/>
  <c r="E80" i="7" s="1"/>
  <c r="K6" i="7"/>
  <c r="N4" i="7"/>
  <c r="O4" i="7" s="1"/>
  <c r="M6" i="7"/>
  <c r="J7" i="3"/>
  <c r="J10" i="3" s="1"/>
  <c r="K7" i="3"/>
  <c r="G5" i="5"/>
  <c r="G4" i="5"/>
  <c r="D2" i="5"/>
  <c r="C7" i="5"/>
  <c r="B7" i="5"/>
  <c r="D6" i="5"/>
  <c r="D5" i="5"/>
  <c r="D4" i="5"/>
  <c r="D3" i="5"/>
  <c r="D4" i="3"/>
  <c r="D5" i="3" s="1"/>
  <c r="D6" i="3" s="1"/>
  <c r="D7" i="3" s="1"/>
  <c r="D8" i="3" s="1"/>
  <c r="D9" i="3" s="1"/>
  <c r="D10" i="3" s="1"/>
  <c r="M6" i="3"/>
  <c r="M4" i="3"/>
  <c r="M5" i="3"/>
  <c r="K5" i="3"/>
  <c r="K4" i="3"/>
  <c r="K6" i="3"/>
  <c r="J5" i="3"/>
  <c r="J4" i="3"/>
  <c r="C95" i="1"/>
  <c r="C90" i="1"/>
  <c r="C85" i="1"/>
  <c r="D78" i="1"/>
  <c r="K4" i="1" s="1"/>
  <c r="C82" i="1"/>
  <c r="C73" i="1"/>
  <c r="C41" i="1"/>
  <c r="C74" i="1"/>
  <c r="L3" i="1" s="1"/>
  <c r="C69" i="1"/>
  <c r="C67" i="1"/>
  <c r="C65" i="1"/>
  <c r="C63" i="1"/>
  <c r="C29" i="1"/>
  <c r="L4" i="1" s="1"/>
  <c r="C27" i="1"/>
  <c r="E8" i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G6" i="5" l="1"/>
  <c r="N5" i="7"/>
  <c r="N6" i="7" s="1"/>
  <c r="L8" i="7"/>
  <c r="M8" i="7" s="1"/>
  <c r="M3" i="1"/>
  <c r="N3" i="1" s="1"/>
  <c r="M2" i="1"/>
  <c r="C79" i="1"/>
  <c r="M4" i="1" s="1"/>
  <c r="N4" i="1" s="1"/>
  <c r="D11" i="3"/>
  <c r="D13" i="3" s="1"/>
  <c r="D14" i="3" s="1"/>
  <c r="D15" i="3" s="1"/>
  <c r="D12" i="3"/>
  <c r="E27" i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E46" i="1" s="1"/>
  <c r="E47" i="1" s="1"/>
  <c r="E48" i="1" s="1"/>
  <c r="E49" i="1" s="1"/>
  <c r="E50" i="1" s="1"/>
  <c r="E51" i="1" s="1"/>
  <c r="E52" i="1" s="1"/>
  <c r="E53" i="1" s="1"/>
  <c r="E54" i="1" s="1"/>
  <c r="E55" i="1" s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E68" i="1" s="1"/>
  <c r="E69" i="1" s="1"/>
  <c r="E70" i="1" s="1"/>
  <c r="E71" i="1" s="1"/>
  <c r="E72" i="1" s="1"/>
  <c r="E73" i="1" s="1"/>
  <c r="E74" i="1" s="1"/>
  <c r="E75" i="1" s="1"/>
  <c r="E76" i="1" s="1"/>
  <c r="E77" i="1" s="1"/>
  <c r="E78" i="1" s="1"/>
  <c r="J2" i="3"/>
  <c r="M2" i="3"/>
  <c r="K2" i="3"/>
  <c r="D7" i="5"/>
  <c r="E79" i="1" l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E91" i="1" s="1"/>
  <c r="E92" i="1" s="1"/>
  <c r="E93" i="1" s="1"/>
  <c r="E94" i="1" s="1"/>
  <c r="E95" i="1" s="1"/>
  <c r="E96" i="1" s="1"/>
  <c r="E97" i="1" s="1"/>
  <c r="E98" i="1" s="1"/>
  <c r="E99" i="1" s="1"/>
  <c r="E100" i="1" s="1"/>
  <c r="E101" i="1" s="1"/>
  <c r="E102" i="1" s="1"/>
  <c r="E103" i="1" s="1"/>
  <c r="E104" i="1" s="1"/>
  <c r="E105" i="1" s="1"/>
  <c r="E106" i="1" s="1"/>
  <c r="E107" i="1" s="1"/>
  <c r="E108" i="1" s="1"/>
  <c r="E109" i="1" s="1"/>
  <c r="E110" i="1" s="1"/>
  <c r="E111" i="1" s="1"/>
  <c r="E112" i="1" s="1"/>
  <c r="E113" i="1" s="1"/>
  <c r="E114" i="1" s="1"/>
  <c r="E115" i="1" s="1"/>
  <c r="E116" i="1" s="1"/>
  <c r="E117" i="1" s="1"/>
  <c r="E118" i="1" s="1"/>
  <c r="E119" i="1" s="1"/>
  <c r="E120" i="1" s="1"/>
  <c r="E121" i="1" s="1"/>
  <c r="E122" i="1" s="1"/>
  <c r="E123" i="1" s="1"/>
  <c r="O5" i="7"/>
  <c r="O5" i="1"/>
  <c r="M6" i="1"/>
  <c r="N2" i="1"/>
  <c r="O2" i="1" s="1"/>
  <c r="L6" i="1"/>
  <c r="K6" i="1"/>
  <c r="D16" i="3"/>
  <c r="D17" i="3" s="1"/>
  <c r="D18" i="3" l="1"/>
  <c r="D19" i="3" s="1"/>
  <c r="D20" i="3" s="1"/>
  <c r="D21" i="3" s="1"/>
  <c r="D22" i="3" s="1"/>
  <c r="D23" i="3" s="1"/>
  <c r="D24" i="3" s="1"/>
  <c r="E124" i="1"/>
  <c r="E125" i="1" s="1"/>
  <c r="E126" i="1" s="1"/>
  <c r="E127" i="1" s="1"/>
  <c r="E128" i="1" s="1"/>
  <c r="O3" i="1"/>
  <c r="O4" i="1"/>
  <c r="E129" i="1" l="1"/>
  <c r="E130" i="1" l="1"/>
  <c r="E131" i="1" l="1"/>
  <c r="E132" i="1" s="1"/>
  <c r="E133" i="1" s="1"/>
  <c r="E134" i="1" l="1"/>
  <c r="E135" i="1" s="1"/>
  <c r="E136" i="1" s="1"/>
  <c r="E137" i="1" s="1"/>
  <c r="E138" i="1" s="1"/>
  <c r="E139" i="1" s="1"/>
  <c r="E140" i="1" s="1"/>
  <c r="E141" i="1" s="1"/>
  <c r="E142" i="1" s="1"/>
  <c r="E143" i="1" s="1"/>
  <c r="E144" i="1" l="1"/>
  <c r="E145" i="1" s="1"/>
  <c r="E146" i="1" s="1"/>
  <c r="E147" i="1" s="1"/>
  <c r="E148" i="1" s="1"/>
  <c r="N5" i="1"/>
  <c r="E149" i="1" l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E162" i="1" s="1"/>
  <c r="E163" i="1" s="1"/>
  <c r="N6" i="1"/>
  <c r="P5" i="1"/>
  <c r="E164" i="1" l="1"/>
  <c r="E165" i="1" s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l="1"/>
  <c r="E177" i="1" s="1"/>
  <c r="E178" i="1" s="1"/>
  <c r="E179" i="1" s="1"/>
  <c r="E180" i="1" s="1"/>
  <c r="E181" i="1" s="1"/>
  <c r="E182" i="1" s="1"/>
  <c r="E183" i="1" s="1"/>
  <c r="E184" i="1" s="1"/>
</calcChain>
</file>

<file path=xl/sharedStrings.xml><?xml version="1.0" encoding="utf-8"?>
<sst xmlns="http://schemas.openxmlformats.org/spreadsheetml/2006/main" count="1259" uniqueCount="218">
  <si>
    <t>Fecha</t>
  </si>
  <si>
    <t>Descripción</t>
  </si>
  <si>
    <t>Origen / Destino</t>
  </si>
  <si>
    <t>Débitos</t>
  </si>
  <si>
    <t>Créditos</t>
  </si>
  <si>
    <t>Saldo</t>
  </si>
  <si>
    <t>Efectivo Recibido</t>
  </si>
  <si>
    <t>Comisión por subida</t>
  </si>
  <si>
    <t>Pago Verificacion</t>
  </si>
  <si>
    <t>Advacnce OL-8807</t>
  </si>
  <si>
    <t>Advance NY24-010613</t>
  </si>
  <si>
    <t>8/8/2024</t>
  </si>
  <si>
    <t>Advance H20240808</t>
  </si>
  <si>
    <t>Balance NY24-010613</t>
  </si>
  <si>
    <t>Balance H20240808</t>
  </si>
  <si>
    <t>3% x Transfer a Hong Kong</t>
  </si>
  <si>
    <t>70% FRONTIER PRECISION LIMITED</t>
  </si>
  <si>
    <t>30% FRONTIER PRECISION LIMITED</t>
  </si>
  <si>
    <t>70% HONG KONG JUNWEI GLOBAL INDUSTRY CO.,LIMITED</t>
  </si>
  <si>
    <t>30% HONG KONG JUNWEI GLOBAL INDUSTRY CO.,LIMITED</t>
  </si>
  <si>
    <t>V-Trust Carga Hugo Wong</t>
  </si>
  <si>
    <t>30% YANGJIANG OWNLAND INDUSTRY CO.,LIMITED</t>
  </si>
  <si>
    <t>Envio x Compra USD Hugo Wong</t>
  </si>
  <si>
    <t>5% NTL s/FC Hugo Wong</t>
  </si>
  <si>
    <t>USD Depositados Efectivo (LK)</t>
  </si>
  <si>
    <t>USD Depositados Efectivo (1500 LK-) chequear</t>
  </si>
  <si>
    <t>USD Depositados Efectivo (CH)</t>
  </si>
  <si>
    <t>70% Ownland</t>
  </si>
  <si>
    <t>USD Depositados Efectivo (Damian)</t>
  </si>
  <si>
    <t>Balance OL-8807</t>
  </si>
  <si>
    <t>Gtos Bancarios</t>
  </si>
  <si>
    <t>30% KANGLI</t>
  </si>
  <si>
    <t>Advance 24KLDDINV128</t>
  </si>
  <si>
    <t>Nombre de referencia</t>
  </si>
  <si>
    <t xml:space="preserve">Ownland </t>
  </si>
  <si>
    <t>Kangli</t>
  </si>
  <si>
    <t>Frontier</t>
  </si>
  <si>
    <t>Ownland</t>
  </si>
  <si>
    <t>Becky Chen</t>
  </si>
  <si>
    <t>Stephen Jiang</t>
  </si>
  <si>
    <t>30% pedido 28/11 Fujian (Total FOB 26524.8)</t>
  </si>
  <si>
    <t>Fujian</t>
  </si>
  <si>
    <t>30% pedido 20/11 Hugo Wong (Total FOB 22482.4)</t>
  </si>
  <si>
    <t>Hugo Wong</t>
  </si>
  <si>
    <t xml:space="preserve">Advance </t>
  </si>
  <si>
    <t>70% Kangli</t>
  </si>
  <si>
    <t>70% Fujian</t>
  </si>
  <si>
    <t>30% pedido 27/11 Stephen Jiang  (Total FOB 9283.16)</t>
  </si>
  <si>
    <t>70% Stephen</t>
  </si>
  <si>
    <t>Transferencia Recibido</t>
  </si>
  <si>
    <t>Advance</t>
  </si>
  <si>
    <t>Comision NTL</t>
  </si>
  <si>
    <t>Pago aereo</t>
  </si>
  <si>
    <t>Hugo Wong (Pago Total)</t>
  </si>
  <si>
    <t>Becky Chen (30% + Matriz)</t>
  </si>
  <si>
    <t>Balance</t>
  </si>
  <si>
    <t>70% Hugo Wong</t>
  </si>
  <si>
    <t>30% pedido 15/01 Ownland (Total FOB 28711.44)</t>
  </si>
  <si>
    <t>Gastos bancarios</t>
  </si>
  <si>
    <t>Total PI</t>
  </si>
  <si>
    <t>Total Fob 498.5</t>
  </si>
  <si>
    <t>Muestras</t>
  </si>
  <si>
    <t>Muestras Cestos</t>
  </si>
  <si>
    <t>Cestos</t>
  </si>
  <si>
    <t>Recupero NTL (Frontier)</t>
  </si>
  <si>
    <t>Recupero Frontier 9513 usd</t>
  </si>
  <si>
    <t>Recupero NTL (Cestos)</t>
  </si>
  <si>
    <t>5% NTL s/FC Cestos</t>
  </si>
  <si>
    <t>5% NTL s/FC Frontier</t>
  </si>
  <si>
    <t>70% Becky Chen</t>
  </si>
  <si>
    <t>30% Hugo Wong</t>
  </si>
  <si>
    <t>Recupero NTL (Ownland)</t>
  </si>
  <si>
    <t>Recupero Fujian 26524.8 usd</t>
  </si>
  <si>
    <t>Recupero NTL (Fujian)</t>
  </si>
  <si>
    <t>Recupero NTL (Hugo Wong)</t>
  </si>
  <si>
    <t>Recupero Hugo Wong 848 usd</t>
  </si>
  <si>
    <t>5% NTL s/FC Fujian</t>
  </si>
  <si>
    <t>30% Ownland</t>
  </si>
  <si>
    <t>Recupero NTL (Stephen Jiang)</t>
  </si>
  <si>
    <t>Pendientes Recupero (con NTL)</t>
  </si>
  <si>
    <t>Tierra</t>
  </si>
  <si>
    <t>Recupero NTL (Kangli)</t>
  </si>
  <si>
    <t>Hugo Wong Matriz</t>
  </si>
  <si>
    <t>Recupero Kangli 17313.36</t>
  </si>
  <si>
    <t>Recupero Ownland 17507.76 (China 40)</t>
  </si>
  <si>
    <t>5% NTL s/FC Kangli</t>
  </si>
  <si>
    <t>5% NTL s/FC Ownland</t>
  </si>
  <si>
    <t>70% Ownland China 43 ( OL 9154)</t>
  </si>
  <si>
    <t>Recupero NTL (Becky Chen)</t>
  </si>
  <si>
    <t>5% NTL s/FC Stephen Jiang</t>
  </si>
  <si>
    <t>China 43</t>
  </si>
  <si>
    <t>CQ- 9154</t>
  </si>
  <si>
    <t>CQ- 9342A</t>
  </si>
  <si>
    <t>CQ- 9342B</t>
  </si>
  <si>
    <t>Recupero Hugo Wong 26.567,40 (TN China 26)</t>
  </si>
  <si>
    <t>Recupero Stephen Jiang 9.290,66 (TN China 27)</t>
  </si>
  <si>
    <t>Recupero Cestos 573.30                (TN China 28)</t>
  </si>
  <si>
    <t>Chef</t>
  </si>
  <si>
    <t>Salido por</t>
  </si>
  <si>
    <t>Fue a</t>
  </si>
  <si>
    <t>Bco</t>
  </si>
  <si>
    <t>NTL</t>
  </si>
  <si>
    <t>Deuda hoy</t>
  </si>
  <si>
    <t>A traves de</t>
  </si>
  <si>
    <t>Queda Girar</t>
  </si>
  <si>
    <t>Si</t>
  </si>
  <si>
    <t>NO</t>
  </si>
  <si>
    <t>Cuando Salga BL</t>
  </si>
  <si>
    <t>Credito Total</t>
  </si>
  <si>
    <t>Cred. Habilitado</t>
  </si>
  <si>
    <t>Deuda real</t>
  </si>
  <si>
    <t>China 1</t>
  </si>
  <si>
    <t>China 2</t>
  </si>
  <si>
    <t>30% H2020715 Frontier</t>
  </si>
  <si>
    <t xml:space="preserve">Frontier </t>
  </si>
  <si>
    <t xml:space="preserve">Balance </t>
  </si>
  <si>
    <t xml:space="preserve">15% Becky Chen </t>
  </si>
  <si>
    <r>
      <t xml:space="preserve">BL </t>
    </r>
    <r>
      <rPr>
        <b/>
        <sz val="9"/>
        <color theme="1"/>
        <rFont val="Aptos Narrow"/>
        <family val="2"/>
        <scheme val="minor"/>
      </rPr>
      <t>Definido</t>
    </r>
  </si>
  <si>
    <t>Pendientes Recupero (Definir si Con/Sin NTL)</t>
  </si>
  <si>
    <t>Disponible</t>
  </si>
  <si>
    <t>Deuda</t>
  </si>
  <si>
    <t>Total Disp</t>
  </si>
  <si>
    <t>Saldo NTL post Transf</t>
  </si>
  <si>
    <t>Pendiente Recup NTL</t>
  </si>
  <si>
    <t>Pendiente Recup (Definir)</t>
  </si>
  <si>
    <t>Transferimos</t>
  </si>
  <si>
    <t>Devolvimos</t>
  </si>
  <si>
    <t>Gtos/Comisiones</t>
  </si>
  <si>
    <t>Depositamos</t>
  </si>
  <si>
    <t>Pendiente</t>
  </si>
  <si>
    <t>Pendientes Recupero (sin NTL)</t>
  </si>
  <si>
    <t>5% NTL s/FC Becky Chen</t>
  </si>
  <si>
    <t>China 48</t>
  </si>
  <si>
    <t>CQ- 9527</t>
  </si>
  <si>
    <t>Saldo Ownland</t>
  </si>
  <si>
    <t xml:space="preserve">Bco </t>
  </si>
  <si>
    <t>SI</t>
  </si>
  <si>
    <t>30% Ownland 9527</t>
  </si>
  <si>
    <t>30% Ownland 9553</t>
  </si>
  <si>
    <t>13.60% B250707 Becky Chen (FOB 10030.32)</t>
  </si>
  <si>
    <t>Embarca 14/09</t>
  </si>
  <si>
    <t>70% Frontier (FOB 9700)</t>
  </si>
  <si>
    <t>Frontier FOB 2940</t>
  </si>
  <si>
    <t>30% Frontier 3.000 FOB 2940</t>
  </si>
  <si>
    <t>TN</t>
  </si>
  <si>
    <t>CH</t>
  </si>
  <si>
    <t>CQ- 9553</t>
  </si>
  <si>
    <t>01/08/25 (CH 44)</t>
  </si>
  <si>
    <t>23/08/2025 (CH 45)</t>
  </si>
  <si>
    <t>China 47</t>
  </si>
  <si>
    <t>70% Hugo Wong (Fob 41266.88)</t>
  </si>
  <si>
    <t>Advance 30%</t>
  </si>
  <si>
    <t>Advance 30% Becky Chen (EXW 2354USD)</t>
  </si>
  <si>
    <t>China 3</t>
  </si>
  <si>
    <t>Advance 30% Fuyian (FOB 1560.84USD)</t>
  </si>
  <si>
    <t>Fuyian</t>
  </si>
  <si>
    <t>Balance 70% Fuyian (FOB 15603.84USD)</t>
  </si>
  <si>
    <t>Recupero NTL (Ownland 9527)</t>
  </si>
  <si>
    <t>D</t>
  </si>
  <si>
    <t>T</t>
  </si>
  <si>
    <t>Empresa</t>
  </si>
  <si>
    <t>Ingreso</t>
  </si>
  <si>
    <t>Gasto</t>
  </si>
  <si>
    <t>Saldo Final</t>
  </si>
  <si>
    <t>Totales</t>
  </si>
  <si>
    <t>Transf</t>
  </si>
  <si>
    <t>G</t>
  </si>
  <si>
    <t>Tipo Gasto</t>
  </si>
  <si>
    <t>30% Kangli</t>
  </si>
  <si>
    <t>Recupero Balance NTL (Ownland 9527)</t>
  </si>
  <si>
    <t>Recupero Fujian</t>
  </si>
  <si>
    <t>Dev a TN</t>
  </si>
  <si>
    <t>Balance 70% Becky Chen (EXW 2354USD) Ojo se mando total</t>
  </si>
  <si>
    <t xml:space="preserve">Advance 30% (FOB 10724) </t>
  </si>
  <si>
    <r>
      <t xml:space="preserve">70% Becky Chen (Fob </t>
    </r>
    <r>
      <rPr>
        <b/>
        <sz val="13"/>
        <color rgb="FF00B0F0"/>
        <rFont val="Arial"/>
        <family val="2"/>
      </rPr>
      <t>10030.32)</t>
    </r>
  </si>
  <si>
    <r>
      <rPr>
        <b/>
        <sz val="13"/>
        <rFont val="Arial"/>
        <family val="2"/>
      </rPr>
      <t>Advance 30% (FOB 27014,88</t>
    </r>
    <r>
      <rPr>
        <sz val="13"/>
        <rFont val="Arial"/>
        <family val="2"/>
      </rPr>
      <t xml:space="preserve"> - 750 Saldo a favor - 4665 CH - 2404,80 TN = 284,66 restan + 18910,42 balance)</t>
    </r>
  </si>
  <si>
    <t>Balance Due 70% (solo Sac Premium) Balance 27666.88    (- 19266.88 TN - 8400 NTL)</t>
  </si>
  <si>
    <r>
      <t xml:space="preserve">BL </t>
    </r>
    <r>
      <rPr>
        <b/>
        <sz val="9"/>
        <color theme="1"/>
        <rFont val="Arial"/>
        <family val="2"/>
      </rPr>
      <t>Definido</t>
    </r>
  </si>
  <si>
    <t>70% Frontier (FOB 14400)</t>
  </si>
  <si>
    <t>Qi Qiao</t>
  </si>
  <si>
    <t xml:space="preserve">Advance 30% (FOB 4135) </t>
  </si>
  <si>
    <t>Recupero Advance</t>
  </si>
  <si>
    <t>Dev Advance 30%</t>
  </si>
  <si>
    <t>DEV</t>
  </si>
  <si>
    <t>70% Jason (FOB 10896.70 - 3217,20= 7676.5)</t>
  </si>
  <si>
    <t xml:space="preserve">Recupero Jason </t>
  </si>
  <si>
    <t xml:space="preserve">Jason </t>
  </si>
  <si>
    <t>70% Becky(FOB 28020.24 ( 718.90 restan +  balance 19923.62 = 20642.52)</t>
  </si>
  <si>
    <t>Wenxinda</t>
  </si>
  <si>
    <t>Hugo Wong CH37</t>
  </si>
  <si>
    <t>Advance 30% (FOB 21.904,56)</t>
  </si>
  <si>
    <t>Advance ?</t>
  </si>
  <si>
    <t>Desarrollo de matriz</t>
  </si>
  <si>
    <t>Owland</t>
  </si>
  <si>
    <t>China 52</t>
  </si>
  <si>
    <t>CQ-9694</t>
  </si>
  <si>
    <t>Recupero Frontier</t>
  </si>
  <si>
    <t>Kangli Balance 70% (FOB 21.904,56)</t>
  </si>
  <si>
    <t>Hugo Wong (Aereo)</t>
  </si>
  <si>
    <t xml:space="preserve">Hugo Wong Aereo (FOB </t>
  </si>
  <si>
    <t>Recupero Kangli</t>
  </si>
  <si>
    <t>1ra Carga</t>
  </si>
  <si>
    <t>Anticipo</t>
  </si>
  <si>
    <t>Advance Hongtai</t>
  </si>
  <si>
    <t>2da Carga</t>
  </si>
  <si>
    <t>Fujian 30% (FOB 32,388)</t>
  </si>
  <si>
    <t xml:space="preserve">Anticipo </t>
  </si>
  <si>
    <t>https://docs.google.com/spreadsheets/d/1lxoDz8uWrdHBxYFsmm2bkrHRShy1Y74z/edit?usp=sharing&amp;ouid=103171834217440292860&amp;rtpof=true&amp;sd=true</t>
  </si>
  <si>
    <t xml:space="preserve">CH </t>
  </si>
  <si>
    <t>Frontier FOB 14400</t>
  </si>
  <si>
    <t>Becky Chen (70%)</t>
  </si>
  <si>
    <t>Xihin</t>
  </si>
  <si>
    <t xml:space="preserve">Moldes </t>
  </si>
  <si>
    <t>Fob (10339,46)</t>
  </si>
  <si>
    <t>Recupero Hugo Wong</t>
  </si>
  <si>
    <t>faltan gastos</t>
  </si>
  <si>
    <t>FOB 34956 - 14000 Adelanto</t>
  </si>
  <si>
    <t>Pendientes Recupero (DIRECTAS)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</si>
</sst>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dd/mm/yy"/>
    <numFmt numFmtId="165" formatCode="#,##0_ ;\-#,##0\ "/>
    <numFmt numFmtId="166" formatCode="#,##0.00_ ;\-#,##0.00\ "/>
    <numFmt numFmtId="167" formatCode="_-* #,##0_-;\-* #,##0_-;_-* &quot;-&quot;??_-;_-@_-"/>
    <numFmt numFmtId="168" formatCode="_-* #,##0.0000_-;\-* #,##0.0000_-;_-* &quot;-&quot;??_-;_-@_-"/>
  </numFmts>
  <fonts count="5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name val="Calibri"/>
      <family val="2"/>
    </font>
    <font>
      <sz val="14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sz val="14"/>
      <color theme="1"/>
      <name val="Aptos Narrow"/>
      <family val="2"/>
      <scheme val="minor"/>
    </font>
    <font>
      <sz val="14"/>
      <name val="Calibri"/>
      <family val="2"/>
    </font>
    <font>
      <b/>
      <sz val="14"/>
      <name val="Aptos Narrow"/>
      <family val="2"/>
      <scheme val="minor"/>
    </font>
    <font>
      <b/>
      <sz val="14"/>
      <color theme="4" tint="0.39997558519241921"/>
      <name val="Calibri"/>
      <family val="2"/>
    </font>
    <font>
      <b/>
      <sz val="14"/>
      <color rgb="FFFF0000"/>
      <name val="Calibri"/>
      <family val="2"/>
    </font>
    <font>
      <b/>
      <sz val="14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4" tint="0.59999389629810485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3"/>
      <color theme="1"/>
      <name val="Arial"/>
      <family val="2"/>
    </font>
    <font>
      <b/>
      <sz val="13"/>
      <name val="Arial"/>
      <family val="2"/>
    </font>
    <font>
      <b/>
      <sz val="13"/>
      <color theme="1"/>
      <name val="Arial"/>
      <family val="2"/>
    </font>
    <font>
      <sz val="13"/>
      <name val="Arial"/>
      <family val="2"/>
    </font>
    <font>
      <b/>
      <sz val="13"/>
      <color rgb="FFFF0000"/>
      <name val="Arial"/>
      <family val="2"/>
    </font>
    <font>
      <b/>
      <sz val="13"/>
      <color theme="4" tint="0.39997558519241921"/>
      <name val="Arial"/>
      <family val="2"/>
    </font>
    <font>
      <b/>
      <sz val="13"/>
      <color rgb="FF00B0F0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sz val="14"/>
      <color theme="3"/>
      <name val="Calibri"/>
      <family val="2"/>
    </font>
    <font>
      <b/>
      <sz val="14"/>
      <color theme="3"/>
      <name val="Calibri"/>
      <family val="2"/>
    </font>
    <font>
      <sz val="14"/>
      <color theme="3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2"/>
      <name val="宋体"/>
      <charset val="134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4"/>
      <color theme="7" tint="-0.249977111117893"/>
      <name val="Aptos Narrow"/>
      <family val="2"/>
      <scheme val="minor"/>
    </font>
    <font>
      <sz val="11"/>
      <color theme="7" tint="-0.249977111117893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4" fillId="0" borderId="0"/>
    <xf numFmtId="0" fontId="46" fillId="0" borderId="0"/>
    <xf numFmtId="0" fontId="44" fillId="0" borderId="0"/>
    <xf numFmtId="0" fontId="45" fillId="0" borderId="0">
      <alignment vertical="center"/>
    </xf>
    <xf numFmtId="0" fontId="49" fillId="0" borderId="0" applyNumberFormat="0" applyFill="0" applyBorder="0" applyAlignment="0" applyProtection="0"/>
  </cellStyleXfs>
  <cellXfs count="316">
    <xf numFmtId="0" fontId="0" fillId="0" borderId="0" xfId="0"/>
    <xf numFmtId="0" fontId="0" fillId="0" borderId="1" xfId="0" applyBorder="1"/>
    <xf numFmtId="0" fontId="4" fillId="0" borderId="0" xfId="0" applyFont="1"/>
    <xf numFmtId="0" fontId="7" fillId="0" borderId="0" xfId="0" applyFont="1"/>
    <xf numFmtId="0" fontId="9" fillId="0" borderId="0" xfId="0" applyFont="1"/>
    <xf numFmtId="0" fontId="5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165" fontId="6" fillId="0" borderId="1" xfId="1" applyNumberFormat="1" applyFont="1" applyBorder="1" applyAlignment="1">
      <alignment horizontal="center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165" fontId="7" fillId="0" borderId="0" xfId="1" applyNumberFormat="1" applyFont="1" applyAlignment="1">
      <alignment horizontal="center"/>
    </xf>
    <xf numFmtId="166" fontId="7" fillId="0" borderId="0" xfId="1" applyNumberFormat="1" applyFont="1" applyAlignment="1">
      <alignment horizontal="center"/>
    </xf>
    <xf numFmtId="166" fontId="11" fillId="2" borderId="1" xfId="1" applyNumberFormat="1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164" fontId="8" fillId="0" borderId="5" xfId="0" applyNumberFormat="1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center"/>
    </xf>
    <xf numFmtId="166" fontId="6" fillId="0" borderId="1" xfId="1" applyNumberFormat="1" applyFont="1" applyBorder="1" applyAlignment="1">
      <alignment horizontal="center" vertical="center" wrapText="1"/>
    </xf>
    <xf numFmtId="166" fontId="3" fillId="0" borderId="1" xfId="1" applyNumberFormat="1" applyFont="1" applyBorder="1" applyAlignment="1">
      <alignment horizontal="center" vertical="center" wrapText="1"/>
    </xf>
    <xf numFmtId="166" fontId="7" fillId="0" borderId="0" xfId="0" applyNumberFormat="1" applyFont="1"/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vertical="center"/>
    </xf>
    <xf numFmtId="16" fontId="0" fillId="0" borderId="1" xfId="0" applyNumberFormat="1" applyBorder="1"/>
    <xf numFmtId="164" fontId="3" fillId="0" borderId="10" xfId="0" applyNumberFormat="1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65" fontId="3" fillId="0" borderId="9" xfId="1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7" fontId="0" fillId="0" borderId="0" xfId="0" applyNumberFormat="1"/>
    <xf numFmtId="3" fontId="0" fillId="0" borderId="0" xfId="0" applyNumberForma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7" fillId="0" borderId="6" xfId="0" applyNumberFormat="1" applyFont="1" applyBorder="1" applyAlignment="1">
      <alignment horizontal="center" vertical="center"/>
    </xf>
    <xf numFmtId="167" fontId="0" fillId="0" borderId="0" xfId="1" applyNumberFormat="1" applyFont="1"/>
    <xf numFmtId="167" fontId="13" fillId="0" borderId="15" xfId="1" applyNumberFormat="1" applyFont="1" applyFill="1" applyBorder="1" applyAlignment="1">
      <alignment horizontal="center" vertical="center"/>
    </xf>
    <xf numFmtId="167" fontId="0" fillId="0" borderId="15" xfId="1" applyNumberFormat="1" applyFont="1" applyBorder="1"/>
    <xf numFmtId="165" fontId="3" fillId="0" borderId="16" xfId="1" applyNumberFormat="1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/>
    </xf>
    <xf numFmtId="167" fontId="3" fillId="0" borderId="18" xfId="1" applyNumberFormat="1" applyFont="1" applyFill="1" applyBorder="1" applyAlignment="1">
      <alignment horizontal="center" vertical="center" wrapText="1"/>
    </xf>
    <xf numFmtId="167" fontId="14" fillId="0" borderId="19" xfId="1" applyNumberFormat="1" applyFont="1" applyBorder="1" applyAlignment="1">
      <alignment vertical="center"/>
    </xf>
    <xf numFmtId="3" fontId="1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43" fontId="0" fillId="0" borderId="0" xfId="0" applyNumberFormat="1" applyAlignment="1">
      <alignment horizontal="center" vertical="center"/>
    </xf>
    <xf numFmtId="166" fontId="10" fillId="0" borderId="1" xfId="1" applyNumberFormat="1" applyFont="1" applyBorder="1" applyAlignment="1">
      <alignment horizontal="center" vertical="center" wrapText="1"/>
    </xf>
    <xf numFmtId="0" fontId="19" fillId="0" borderId="0" xfId="0" applyFont="1"/>
    <xf numFmtId="165" fontId="11" fillId="0" borderId="1" xfId="1" applyNumberFormat="1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167" fontId="0" fillId="0" borderId="0" xfId="1" applyNumberFormat="1" applyFont="1" applyAlignment="1">
      <alignment horizontal="center" vertical="center"/>
    </xf>
    <xf numFmtId="167" fontId="0" fillId="0" borderId="1" xfId="1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0" fontId="8" fillId="0" borderId="15" xfId="0" applyFont="1" applyBorder="1" applyAlignment="1">
      <alignment vertical="center" wrapText="1"/>
    </xf>
    <xf numFmtId="166" fontId="3" fillId="0" borderId="22" xfId="1" applyNumberFormat="1" applyFont="1" applyFill="1" applyBorder="1" applyAlignment="1">
      <alignment horizontal="center" vertical="center" wrapText="1"/>
    </xf>
    <xf numFmtId="165" fontId="3" fillId="0" borderId="21" xfId="1" applyNumberFormat="1" applyFont="1" applyFill="1" applyBorder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165" fontId="6" fillId="0" borderId="3" xfId="1" applyNumberFormat="1" applyFont="1" applyBorder="1" applyAlignment="1">
      <alignment horizontal="center" vertical="center" wrapText="1"/>
    </xf>
    <xf numFmtId="166" fontId="6" fillId="0" borderId="5" xfId="1" applyNumberFormat="1" applyFont="1" applyBorder="1" applyAlignment="1">
      <alignment horizontal="center" vertical="center" wrapText="1"/>
    </xf>
    <xf numFmtId="166" fontId="3" fillId="0" borderId="5" xfId="1" applyNumberFormat="1" applyFont="1" applyBorder="1" applyAlignment="1">
      <alignment horizontal="center" vertical="center" wrapText="1"/>
    </xf>
    <xf numFmtId="166" fontId="11" fillId="2" borderId="5" xfId="1" applyNumberFormat="1" applyFont="1" applyFill="1" applyBorder="1" applyAlignment="1">
      <alignment horizontal="center" vertical="center" wrapText="1"/>
    </xf>
    <xf numFmtId="43" fontId="0" fillId="0" borderId="0" xfId="1" applyFont="1"/>
    <xf numFmtId="43" fontId="3" fillId="0" borderId="14" xfId="1" applyFont="1" applyFill="1" applyBorder="1" applyAlignment="1">
      <alignment horizontal="center" vertical="center" wrapText="1"/>
    </xf>
    <xf numFmtId="43" fontId="3" fillId="0" borderId="10" xfId="1" applyFont="1" applyFill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3" fontId="18" fillId="0" borderId="23" xfId="0" applyNumberFormat="1" applyFont="1" applyBorder="1" applyAlignment="1">
      <alignment horizontal="center" vertical="center" wrapText="1"/>
    </xf>
    <xf numFmtId="167" fontId="0" fillId="0" borderId="3" xfId="1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center" vertical="center"/>
    </xf>
    <xf numFmtId="167" fontId="15" fillId="0" borderId="7" xfId="1" applyNumberFormat="1" applyFont="1" applyBorder="1"/>
    <xf numFmtId="167" fontId="15" fillId="0" borderId="8" xfId="1" applyNumberFormat="1" applyFont="1" applyBorder="1"/>
    <xf numFmtId="43" fontId="15" fillId="0" borderId="8" xfId="1" applyFont="1" applyBorder="1"/>
    <xf numFmtId="0" fontId="2" fillId="0" borderId="18" xfId="0" applyFont="1" applyBorder="1"/>
    <xf numFmtId="0" fontId="2" fillId="0" borderId="19" xfId="0" applyFont="1" applyBorder="1"/>
    <xf numFmtId="165" fontId="17" fillId="0" borderId="1" xfId="1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 wrapText="1"/>
    </xf>
    <xf numFmtId="166" fontId="3" fillId="2" borderId="1" xfId="1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5" fontId="7" fillId="0" borderId="0" xfId="0" applyNumberFormat="1" applyFont="1"/>
    <xf numFmtId="167" fontId="19" fillId="0" borderId="0" xfId="1" applyNumberFormat="1" applyFont="1"/>
    <xf numFmtId="16" fontId="13" fillId="0" borderId="1" xfId="0" applyNumberFormat="1" applyFont="1" applyBorder="1" applyAlignment="1">
      <alignment horizontal="center" vertical="center" wrapText="1"/>
    </xf>
    <xf numFmtId="167" fontId="0" fillId="0" borderId="1" xfId="1" applyNumberFormat="1" applyFont="1" applyFill="1" applyBorder="1"/>
    <xf numFmtId="43" fontId="0" fillId="0" borderId="1" xfId="1" applyFont="1" applyFill="1" applyBorder="1"/>
    <xf numFmtId="43" fontId="13" fillId="0" borderId="15" xfId="1" applyFont="1" applyFill="1" applyBorder="1" applyAlignment="1">
      <alignment horizontal="center" vertical="center"/>
    </xf>
    <xf numFmtId="43" fontId="0" fillId="0" borderId="1" xfId="1" applyFont="1" applyBorder="1" applyAlignment="1">
      <alignment horizontal="center" vertical="center" wrapText="1"/>
    </xf>
    <xf numFmtId="4" fontId="7" fillId="0" borderId="0" xfId="0" applyNumberFormat="1" applyFont="1" applyAlignment="1">
      <alignment horizontal="center" vertical="center"/>
    </xf>
    <xf numFmtId="43" fontId="0" fillId="0" borderId="0" xfId="0" applyNumberFormat="1"/>
    <xf numFmtId="0" fontId="0" fillId="0" borderId="0" xfId="0" applyAlignment="1">
      <alignment horizontal="center"/>
    </xf>
    <xf numFmtId="167" fontId="14" fillId="0" borderId="1" xfId="1" applyNumberFormat="1" applyFont="1" applyFill="1" applyBorder="1" applyAlignment="1">
      <alignment horizontal="center" vertical="center"/>
    </xf>
    <xf numFmtId="43" fontId="14" fillId="0" borderId="1" xfId="1" applyFont="1" applyFill="1" applyBorder="1" applyAlignment="1">
      <alignment horizontal="center" vertical="center"/>
    </xf>
    <xf numFmtId="43" fontId="0" fillId="0" borderId="0" xfId="1" applyFont="1" applyFill="1"/>
    <xf numFmtId="167" fontId="0" fillId="0" borderId="15" xfId="1" applyNumberFormat="1" applyFont="1" applyFill="1" applyBorder="1"/>
    <xf numFmtId="43" fontId="0" fillId="0" borderId="15" xfId="1" applyFont="1" applyFill="1" applyBorder="1"/>
    <xf numFmtId="43" fontId="7" fillId="0" borderId="0" xfId="0" applyNumberFormat="1" applyFont="1"/>
    <xf numFmtId="167" fontId="7" fillId="0" borderId="0" xfId="1" applyNumberFormat="1" applyFont="1"/>
    <xf numFmtId="14" fontId="0" fillId="0" borderId="0" xfId="0" applyNumberFormat="1"/>
    <xf numFmtId="164" fontId="5" fillId="0" borderId="0" xfId="0" applyNumberFormat="1" applyFont="1" applyAlignment="1">
      <alignment horizontal="center" vertical="center" wrapText="1"/>
    </xf>
    <xf numFmtId="166" fontId="10" fillId="0" borderId="0" xfId="1" applyNumberFormat="1" applyFont="1" applyBorder="1" applyAlignment="1">
      <alignment horizontal="center" vertical="center" wrapText="1"/>
    </xf>
    <xf numFmtId="165" fontId="3" fillId="0" borderId="0" xfId="1" applyNumberFormat="1" applyFont="1" applyBorder="1" applyAlignment="1">
      <alignment horizontal="center" vertical="center" wrapText="1"/>
    </xf>
    <xf numFmtId="166" fontId="10" fillId="2" borderId="1" xfId="1" applyNumberFormat="1" applyFont="1" applyFill="1" applyBorder="1" applyAlignment="1">
      <alignment horizontal="center" vertical="center" wrapText="1"/>
    </xf>
    <xf numFmtId="9" fontId="10" fillId="0" borderId="1" xfId="2" applyFont="1" applyBorder="1" applyAlignment="1">
      <alignment horizontal="center" vertical="center" wrapText="1"/>
    </xf>
    <xf numFmtId="166" fontId="3" fillId="0" borderId="21" xfId="1" applyNumberFormat="1" applyFont="1" applyFill="1" applyBorder="1" applyAlignment="1">
      <alignment horizontal="center" vertical="center" wrapText="1"/>
    </xf>
    <xf numFmtId="166" fontId="3" fillId="0" borderId="0" xfId="1" applyNumberFormat="1" applyFont="1" applyBorder="1" applyAlignment="1">
      <alignment horizontal="center" vertical="center" wrapText="1"/>
    </xf>
    <xf numFmtId="166" fontId="0" fillId="0" borderId="0" xfId="0" applyNumberFormat="1"/>
    <xf numFmtId="166" fontId="3" fillId="0" borderId="1" xfId="1" applyNumberFormat="1" applyFont="1" applyFill="1" applyBorder="1" applyAlignment="1">
      <alignment horizontal="center" vertical="center" wrapText="1"/>
    </xf>
    <xf numFmtId="43" fontId="7" fillId="0" borderId="0" xfId="1" applyFont="1"/>
    <xf numFmtId="0" fontId="4" fillId="0" borderId="1" xfId="0" applyFont="1" applyBorder="1" applyAlignment="1">
      <alignment horizontal="center" vertical="center"/>
    </xf>
    <xf numFmtId="167" fontId="7" fillId="0" borderId="1" xfId="1" applyNumberFormat="1" applyFont="1" applyBorder="1" applyAlignment="1">
      <alignment horizontal="center" vertical="center"/>
    </xf>
    <xf numFmtId="167" fontId="7" fillId="0" borderId="0" xfId="0" applyNumberFormat="1" applyFont="1"/>
    <xf numFmtId="167" fontId="4" fillId="0" borderId="0" xfId="1" applyNumberFormat="1" applyFont="1"/>
    <xf numFmtId="167" fontId="9" fillId="0" borderId="0" xfId="1" applyNumberFormat="1" applyFont="1"/>
    <xf numFmtId="167" fontId="7" fillId="0" borderId="0" xfId="1" applyNumberFormat="1" applyFont="1" applyAlignment="1">
      <alignment vertical="center"/>
    </xf>
    <xf numFmtId="0" fontId="3" fillId="0" borderId="26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166" fontId="3" fillId="0" borderId="15" xfId="1" applyNumberFormat="1" applyFont="1" applyBorder="1" applyAlignment="1">
      <alignment horizontal="center" vertical="center" wrapText="1"/>
    </xf>
    <xf numFmtId="166" fontId="10" fillId="0" borderId="15" xfId="1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8" fontId="7" fillId="0" borderId="0" xfId="1" applyNumberFormat="1" applyFont="1"/>
    <xf numFmtId="0" fontId="23" fillId="0" borderId="0" xfId="0" applyFont="1"/>
    <xf numFmtId="166" fontId="4" fillId="0" borderId="0" xfId="0" applyNumberFormat="1" applyFont="1"/>
    <xf numFmtId="9" fontId="8" fillId="0" borderId="1" xfId="2" applyFont="1" applyBorder="1" applyAlignment="1">
      <alignment horizontal="center" vertical="center" wrapText="1"/>
    </xf>
    <xf numFmtId="166" fontId="6" fillId="0" borderId="1" xfId="1" applyNumberFormat="1" applyFont="1" applyFill="1" applyBorder="1" applyAlignment="1">
      <alignment horizontal="center" vertical="center" wrapText="1"/>
    </xf>
    <xf numFmtId="9" fontId="8" fillId="0" borderId="1" xfId="2" applyFont="1" applyFill="1" applyBorder="1" applyAlignment="1">
      <alignment horizontal="center" vertical="center" wrapText="1"/>
    </xf>
    <xf numFmtId="166" fontId="3" fillId="0" borderId="15" xfId="1" applyNumberFormat="1" applyFont="1" applyFill="1" applyBorder="1" applyAlignment="1">
      <alignment horizontal="center" vertical="center" wrapText="1"/>
    </xf>
    <xf numFmtId="167" fontId="4" fillId="0" borderId="0" xfId="1" applyNumberFormat="1" applyFont="1" applyFill="1"/>
    <xf numFmtId="165" fontId="11" fillId="0" borderId="1" xfId="1" applyNumberFormat="1" applyFont="1" applyFill="1" applyBorder="1" applyAlignment="1">
      <alignment horizontal="center" vertical="center" wrapText="1"/>
    </xf>
    <xf numFmtId="165" fontId="3" fillId="0" borderId="1" xfId="1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6" fillId="0" borderId="0" xfId="0" applyFont="1"/>
    <xf numFmtId="0" fontId="26" fillId="0" borderId="0" xfId="0" applyFont="1" applyAlignment="1">
      <alignment horizontal="center" vertical="center"/>
    </xf>
    <xf numFmtId="0" fontId="26" fillId="0" borderId="1" xfId="0" applyFont="1" applyBorder="1" applyAlignment="1">
      <alignment horizontal="center" vertical="center"/>
    </xf>
    <xf numFmtId="0" fontId="25" fillId="0" borderId="0" xfId="0" applyFont="1"/>
    <xf numFmtId="0" fontId="28" fillId="0" borderId="0" xfId="0" applyFont="1"/>
    <xf numFmtId="0" fontId="28" fillId="0" borderId="0" xfId="0" applyFont="1" applyAlignment="1">
      <alignment horizontal="center" vertical="center"/>
    </xf>
    <xf numFmtId="164" fontId="31" fillId="0" borderId="0" xfId="0" applyNumberFormat="1" applyFont="1" applyAlignment="1">
      <alignment horizontal="center"/>
    </xf>
    <xf numFmtId="0" fontId="31" fillId="0" borderId="0" xfId="0" applyFont="1"/>
    <xf numFmtId="166" fontId="31" fillId="0" borderId="0" xfId="1" applyNumberFormat="1" applyFont="1" applyAlignment="1">
      <alignment horizontal="center"/>
    </xf>
    <xf numFmtId="165" fontId="31" fillId="0" borderId="0" xfId="1" applyNumberFormat="1" applyFont="1" applyAlignment="1">
      <alignment horizontal="center"/>
    </xf>
    <xf numFmtId="0" fontId="31" fillId="0" borderId="0" xfId="0" applyFont="1" applyAlignment="1">
      <alignment horizontal="center" vertical="center"/>
    </xf>
    <xf numFmtId="164" fontId="32" fillId="0" borderId="2" xfId="0" applyNumberFormat="1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166" fontId="32" fillId="0" borderId="22" xfId="1" applyNumberFormat="1" applyFont="1" applyFill="1" applyBorder="1" applyAlignment="1">
      <alignment horizontal="center" vertical="center" wrapText="1"/>
    </xf>
    <xf numFmtId="165" fontId="32" fillId="0" borderId="21" xfId="1" applyNumberFormat="1" applyFont="1" applyFill="1" applyBorder="1" applyAlignment="1">
      <alignment horizontal="center" vertical="center" wrapText="1"/>
    </xf>
    <xf numFmtId="166" fontId="32" fillId="0" borderId="21" xfId="1" applyNumberFormat="1" applyFont="1" applyFill="1" applyBorder="1" applyAlignment="1">
      <alignment horizontal="center" vertical="center" wrapText="1"/>
    </xf>
    <xf numFmtId="0" fontId="32" fillId="0" borderId="21" xfId="0" applyFont="1" applyBorder="1" applyAlignment="1">
      <alignment horizontal="center" vertical="center" wrapText="1"/>
    </xf>
    <xf numFmtId="0" fontId="32" fillId="0" borderId="26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164" fontId="31" fillId="0" borderId="5" xfId="0" applyNumberFormat="1" applyFont="1" applyBorder="1" applyAlignment="1">
      <alignment horizontal="center" vertical="center" wrapText="1"/>
    </xf>
    <xf numFmtId="0" fontId="31" fillId="0" borderId="15" xfId="0" applyFont="1" applyBorder="1" applyAlignment="1">
      <alignment vertical="center" wrapText="1"/>
    </xf>
    <xf numFmtId="166" fontId="33" fillId="0" borderId="2" xfId="1" applyNumberFormat="1" applyFont="1" applyBorder="1" applyAlignment="1">
      <alignment horizontal="center" vertical="center" wrapText="1"/>
    </xf>
    <xf numFmtId="165" fontId="33" fillId="0" borderId="3" xfId="1" applyNumberFormat="1" applyFont="1" applyBorder="1" applyAlignment="1">
      <alignment horizontal="center" vertical="center" wrapText="1"/>
    </xf>
    <xf numFmtId="166" fontId="33" fillId="0" borderId="3" xfId="1" applyNumberFormat="1" applyFont="1" applyBorder="1" applyAlignment="1">
      <alignment horizontal="center" vertical="center" wrapText="1"/>
    </xf>
    <xf numFmtId="0" fontId="31" fillId="0" borderId="27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166" fontId="33" fillId="0" borderId="5" xfId="1" applyNumberFormat="1" applyFont="1" applyBorder="1" applyAlignment="1">
      <alignment horizontal="center" vertical="center" wrapText="1"/>
    </xf>
    <xf numFmtId="165" fontId="33" fillId="0" borderId="1" xfId="1" applyNumberFormat="1" applyFont="1" applyBorder="1" applyAlignment="1">
      <alignment horizontal="center" vertical="center" wrapText="1"/>
    </xf>
    <xf numFmtId="166" fontId="33" fillId="0" borderId="1" xfId="1" applyNumberFormat="1" applyFont="1" applyBorder="1" applyAlignment="1">
      <alignment horizontal="center" vertical="center" wrapText="1"/>
    </xf>
    <xf numFmtId="0" fontId="31" fillId="0" borderId="1" xfId="0" applyFont="1" applyBorder="1" applyAlignment="1">
      <alignment vertical="center" wrapText="1"/>
    </xf>
    <xf numFmtId="0" fontId="31" fillId="0" borderId="15" xfId="0" applyFont="1" applyBorder="1" applyAlignment="1">
      <alignment horizontal="center" vertical="center" wrapText="1"/>
    </xf>
    <xf numFmtId="166" fontId="32" fillId="0" borderId="5" xfId="1" applyNumberFormat="1" applyFont="1" applyBorder="1" applyAlignment="1">
      <alignment horizontal="center" vertical="center" wrapText="1"/>
    </xf>
    <xf numFmtId="165" fontId="32" fillId="0" borderId="1" xfId="1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vertical="center" wrapText="1"/>
    </xf>
    <xf numFmtId="164" fontId="34" fillId="0" borderId="5" xfId="0" applyNumberFormat="1" applyFont="1" applyBorder="1" applyAlignment="1">
      <alignment horizontal="center" vertical="center" wrapText="1"/>
    </xf>
    <xf numFmtId="0" fontId="34" fillId="0" borderId="15" xfId="0" applyFont="1" applyBorder="1" applyAlignment="1">
      <alignment vertical="center" wrapText="1"/>
    </xf>
    <xf numFmtId="0" fontId="34" fillId="0" borderId="15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2" fillId="0" borderId="15" xfId="0" applyFont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/>
    </xf>
    <xf numFmtId="166" fontId="35" fillId="2" borderId="1" xfId="1" applyNumberFormat="1" applyFont="1" applyFill="1" applyBorder="1" applyAlignment="1">
      <alignment horizontal="center" vertical="center" wrapText="1"/>
    </xf>
    <xf numFmtId="166" fontId="35" fillId="2" borderId="5" xfId="1" applyNumberFormat="1" applyFont="1" applyFill="1" applyBorder="1" applyAlignment="1">
      <alignment horizontal="center" vertical="center" wrapText="1"/>
    </xf>
    <xf numFmtId="166" fontId="32" fillId="0" borderId="1" xfId="1" applyNumberFormat="1" applyFont="1" applyBorder="1" applyAlignment="1">
      <alignment horizontal="center" vertical="center" wrapText="1"/>
    </xf>
    <xf numFmtId="0" fontId="34" fillId="0" borderId="28" xfId="0" applyFont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/>
    </xf>
    <xf numFmtId="166" fontId="35" fillId="0" borderId="5" xfId="1" applyNumberFormat="1" applyFont="1" applyBorder="1" applyAlignment="1">
      <alignment horizontal="center" vertical="center" wrapText="1"/>
    </xf>
    <xf numFmtId="164" fontId="31" fillId="0" borderId="1" xfId="0" applyNumberFormat="1" applyFont="1" applyBorder="1" applyAlignment="1">
      <alignment horizontal="center" vertical="center" wrapText="1"/>
    </xf>
    <xf numFmtId="166" fontId="35" fillId="0" borderId="1" xfId="1" applyNumberFormat="1" applyFont="1" applyBorder="1" applyAlignment="1">
      <alignment horizontal="center" vertical="center" wrapText="1"/>
    </xf>
    <xf numFmtId="165" fontId="35" fillId="0" borderId="1" xfId="1" applyNumberFormat="1" applyFont="1" applyBorder="1" applyAlignment="1">
      <alignment horizontal="center" vertical="center" wrapText="1"/>
    </xf>
    <xf numFmtId="166" fontId="36" fillId="0" borderId="1" xfId="1" applyNumberFormat="1" applyFont="1" applyBorder="1" applyAlignment="1">
      <alignment horizontal="center" vertical="center" wrapText="1"/>
    </xf>
    <xf numFmtId="166" fontId="32" fillId="0" borderId="15" xfId="1" applyNumberFormat="1" applyFont="1" applyBorder="1" applyAlignment="1">
      <alignment horizontal="center" vertical="center" wrapText="1"/>
    </xf>
    <xf numFmtId="164" fontId="34" fillId="0" borderId="1" xfId="0" applyNumberFormat="1" applyFont="1" applyBorder="1" applyAlignment="1">
      <alignment horizontal="center" vertical="center" wrapText="1"/>
    </xf>
    <xf numFmtId="165" fontId="32" fillId="0" borderId="1" xfId="1" applyNumberFormat="1" applyFont="1" applyBorder="1" applyAlignment="1">
      <alignment horizontal="center" vertical="center"/>
    </xf>
    <xf numFmtId="166" fontId="32" fillId="2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vertical="center"/>
    </xf>
    <xf numFmtId="166" fontId="31" fillId="0" borderId="1" xfId="1" applyNumberFormat="1" applyFont="1" applyBorder="1" applyAlignment="1">
      <alignment vertical="center"/>
    </xf>
    <xf numFmtId="166" fontId="34" fillId="0" borderId="1" xfId="1" applyNumberFormat="1" applyFont="1" applyBorder="1" applyAlignment="1">
      <alignment horizontal="left" vertical="center" wrapText="1"/>
    </xf>
    <xf numFmtId="166" fontId="34" fillId="0" borderId="1" xfId="1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165" fontId="34" fillId="0" borderId="1" xfId="1" applyNumberFormat="1" applyFont="1" applyBorder="1" applyAlignment="1">
      <alignment horizontal="center" vertical="center" wrapText="1"/>
    </xf>
    <xf numFmtId="166" fontId="34" fillId="0" borderId="1" xfId="1" applyNumberFormat="1" applyFont="1" applyFill="1" applyBorder="1" applyAlignment="1">
      <alignment horizontal="center" vertical="center" wrapText="1"/>
    </xf>
    <xf numFmtId="0" fontId="34" fillId="0" borderId="0" xfId="0" applyFont="1"/>
    <xf numFmtId="9" fontId="34" fillId="0" borderId="1" xfId="2" applyFont="1" applyBorder="1" applyAlignment="1">
      <alignment horizontal="center" vertical="center" wrapText="1"/>
    </xf>
    <xf numFmtId="9" fontId="32" fillId="0" borderId="1" xfId="2" applyFont="1" applyBorder="1" applyAlignment="1">
      <alignment horizontal="center" vertical="center" wrapText="1"/>
    </xf>
    <xf numFmtId="166" fontId="31" fillId="0" borderId="0" xfId="0" applyNumberFormat="1" applyFont="1"/>
    <xf numFmtId="164" fontId="31" fillId="0" borderId="1" xfId="0" applyNumberFormat="1" applyFont="1" applyBorder="1" applyAlignment="1">
      <alignment horizontal="center"/>
    </xf>
    <xf numFmtId="0" fontId="31" fillId="0" borderId="0" xfId="0" applyFont="1" applyAlignment="1">
      <alignment horizontal="center"/>
    </xf>
    <xf numFmtId="0" fontId="31" fillId="0" borderId="3" xfId="0" applyFont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66" fontId="31" fillId="0" borderId="1" xfId="1" applyNumberFormat="1" applyFont="1" applyBorder="1" applyAlignment="1">
      <alignment horizontal="center" vertical="center"/>
    </xf>
    <xf numFmtId="167" fontId="28" fillId="0" borderId="0" xfId="1" applyNumberFormat="1" applyFont="1"/>
    <xf numFmtId="0" fontId="28" fillId="0" borderId="0" xfId="0" applyFont="1" applyAlignment="1">
      <alignment horizontal="center" vertical="center" wrapText="1"/>
    </xf>
    <xf numFmtId="3" fontId="28" fillId="0" borderId="0" xfId="0" applyNumberFormat="1" applyFont="1" applyAlignment="1">
      <alignment horizontal="center" vertical="center" wrapText="1"/>
    </xf>
    <xf numFmtId="3" fontId="24" fillId="0" borderId="0" xfId="0" applyNumberFormat="1" applyFont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30" fillId="0" borderId="3" xfId="0" applyFont="1" applyBorder="1" applyAlignment="1">
      <alignment horizontal="center" vertical="center" wrapText="1"/>
    </xf>
    <xf numFmtId="3" fontId="30" fillId="0" borderId="4" xfId="0" applyNumberFormat="1" applyFont="1" applyBorder="1" applyAlignment="1">
      <alignment horizontal="center" vertical="center" wrapText="1"/>
    </xf>
    <xf numFmtId="0" fontId="38" fillId="0" borderId="5" xfId="0" applyFont="1" applyBorder="1"/>
    <xf numFmtId="167" fontId="29" fillId="0" borderId="1" xfId="1" applyNumberFormat="1" applyFont="1" applyBorder="1"/>
    <xf numFmtId="167" fontId="28" fillId="0" borderId="1" xfId="1" applyNumberFormat="1" applyFont="1" applyBorder="1" applyAlignment="1">
      <alignment horizontal="center" vertical="center" wrapText="1"/>
    </xf>
    <xf numFmtId="3" fontId="26" fillId="0" borderId="6" xfId="0" applyNumberFormat="1" applyFont="1" applyBorder="1" applyAlignment="1">
      <alignment horizontal="center" vertical="center"/>
    </xf>
    <xf numFmtId="43" fontId="29" fillId="0" borderId="1" xfId="1" applyFont="1" applyBorder="1"/>
    <xf numFmtId="0" fontId="28" fillId="0" borderId="1" xfId="0" applyFont="1" applyBorder="1" applyAlignment="1">
      <alignment horizontal="center" vertical="center"/>
    </xf>
    <xf numFmtId="3" fontId="28" fillId="0" borderId="0" xfId="0" applyNumberFormat="1" applyFont="1" applyAlignment="1">
      <alignment horizontal="center" vertical="center"/>
    </xf>
    <xf numFmtId="43" fontId="28" fillId="0" borderId="0" xfId="0" applyNumberFormat="1" applyFont="1" applyAlignment="1">
      <alignment horizontal="center" vertical="center"/>
    </xf>
    <xf numFmtId="167" fontId="28" fillId="0" borderId="0" xfId="0" applyNumberFormat="1" applyFont="1"/>
    <xf numFmtId="167" fontId="28" fillId="0" borderId="0" xfId="0" applyNumberFormat="1" applyFont="1" applyAlignment="1">
      <alignment horizontal="center" vertical="center"/>
    </xf>
    <xf numFmtId="43" fontId="28" fillId="0" borderId="0" xfId="0" applyNumberFormat="1" applyFont="1"/>
    <xf numFmtId="0" fontId="25" fillId="0" borderId="0" xfId="0" applyFont="1" applyAlignment="1">
      <alignment horizontal="center" vertical="center"/>
    </xf>
    <xf numFmtId="3" fontId="25" fillId="0" borderId="0" xfId="0" applyNumberFormat="1" applyFont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167" fontId="28" fillId="0" borderId="0" xfId="1" applyNumberFormat="1" applyFont="1" applyAlignment="1">
      <alignment vertical="center"/>
    </xf>
    <xf numFmtId="0" fontId="28" fillId="0" borderId="0" xfId="0" applyFont="1" applyAlignment="1">
      <alignment vertical="center"/>
    </xf>
    <xf numFmtId="16" fontId="28" fillId="0" borderId="1" xfId="0" applyNumberFormat="1" applyFont="1" applyBorder="1" applyAlignment="1">
      <alignment horizontal="center" vertical="center"/>
    </xf>
    <xf numFmtId="167" fontId="28" fillId="0" borderId="1" xfId="1" applyNumberFormat="1" applyFont="1" applyBorder="1" applyAlignment="1">
      <alignment vertical="center"/>
    </xf>
    <xf numFmtId="167" fontId="28" fillId="0" borderId="15" xfId="1" applyNumberFormat="1" applyFont="1" applyBorder="1" applyAlignment="1">
      <alignment vertical="center"/>
    </xf>
    <xf numFmtId="43" fontId="28" fillId="0" borderId="1" xfId="1" applyFont="1" applyBorder="1" applyAlignment="1">
      <alignment vertical="center"/>
    </xf>
    <xf numFmtId="0" fontId="28" fillId="0" borderId="1" xfId="0" applyFont="1" applyBorder="1" applyAlignment="1">
      <alignment vertical="center"/>
    </xf>
    <xf numFmtId="0" fontId="22" fillId="0" borderId="8" xfId="0" applyFont="1" applyBorder="1" applyAlignment="1">
      <alignment horizontal="center" vertical="center"/>
    </xf>
    <xf numFmtId="16" fontId="21" fillId="0" borderId="1" xfId="0" applyNumberFormat="1" applyFont="1" applyBorder="1" applyAlignment="1">
      <alignment horizontal="center" vertical="center" wrapText="1"/>
    </xf>
    <xf numFmtId="167" fontId="22" fillId="0" borderId="19" xfId="1" applyNumberFormat="1" applyFont="1" applyBorder="1" applyAlignment="1">
      <alignment vertical="center"/>
    </xf>
    <xf numFmtId="164" fontId="32" fillId="0" borderId="10" xfId="0" applyNumberFormat="1" applyFont="1" applyBorder="1" applyAlignment="1">
      <alignment horizontal="center" vertical="center" wrapText="1"/>
    </xf>
    <xf numFmtId="167" fontId="32" fillId="0" borderId="10" xfId="1" applyNumberFormat="1" applyFont="1" applyFill="1" applyBorder="1" applyAlignment="1">
      <alignment horizontal="center" vertical="center" wrapText="1"/>
    </xf>
    <xf numFmtId="167" fontId="32" fillId="0" borderId="18" xfId="1" applyNumberFormat="1" applyFont="1" applyFill="1" applyBorder="1" applyAlignment="1">
      <alignment horizontal="center" vertical="center" wrapText="1"/>
    </xf>
    <xf numFmtId="165" fontId="32" fillId="0" borderId="16" xfId="1" applyNumberFormat="1" applyFont="1" applyFill="1" applyBorder="1" applyAlignment="1">
      <alignment horizontal="center" vertical="center" wrapText="1"/>
    </xf>
    <xf numFmtId="165" fontId="32" fillId="0" borderId="9" xfId="1" applyNumberFormat="1" applyFont="1" applyFill="1" applyBorder="1" applyAlignment="1">
      <alignment horizontal="center" vertical="center" wrapText="1"/>
    </xf>
    <xf numFmtId="0" fontId="32" fillId="0" borderId="9" xfId="0" applyFont="1" applyBorder="1" applyAlignment="1">
      <alignment horizontal="center" vertical="center" wrapText="1"/>
    </xf>
    <xf numFmtId="167" fontId="32" fillId="0" borderId="14" xfId="1" applyNumberFormat="1" applyFont="1" applyFill="1" applyBorder="1" applyAlignment="1">
      <alignment horizontal="center" vertical="center"/>
    </xf>
    <xf numFmtId="0" fontId="22" fillId="0" borderId="17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67" fontId="22" fillId="0" borderId="15" xfId="1" applyNumberFormat="1" applyFont="1" applyFill="1" applyBorder="1" applyAlignment="1">
      <alignment horizontal="center" vertical="center"/>
    </xf>
    <xf numFmtId="43" fontId="29" fillId="0" borderId="1" xfId="1" applyFont="1" applyBorder="1" applyAlignment="1">
      <alignment horizontal="center"/>
    </xf>
    <xf numFmtId="166" fontId="32" fillId="0" borderId="1" xfId="1" applyNumberFormat="1" applyFont="1" applyBorder="1" applyAlignment="1">
      <alignment horizontal="left" vertical="center" wrapText="1"/>
    </xf>
    <xf numFmtId="166" fontId="32" fillId="0" borderId="1" xfId="1" applyNumberFormat="1" applyFont="1" applyFill="1" applyBorder="1" applyAlignment="1">
      <alignment horizontal="center" vertical="center" wrapText="1"/>
    </xf>
    <xf numFmtId="165" fontId="32" fillId="0" borderId="1" xfId="1" applyNumberFormat="1" applyFont="1" applyFill="1" applyBorder="1" applyAlignment="1">
      <alignment horizontal="center" vertical="center" wrapText="1"/>
    </xf>
    <xf numFmtId="164" fontId="32" fillId="0" borderId="1" xfId="0" applyNumberFormat="1" applyFont="1" applyBorder="1" applyAlignment="1">
      <alignment horizontal="center" vertical="center" wrapText="1"/>
    </xf>
    <xf numFmtId="164" fontId="40" fillId="0" borderId="1" xfId="0" applyNumberFormat="1" applyFont="1" applyBorder="1" applyAlignment="1">
      <alignment horizontal="center" vertical="center" wrapText="1"/>
    </xf>
    <xf numFmtId="166" fontId="41" fillId="0" borderId="1" xfId="1" applyNumberFormat="1" applyFont="1" applyFill="1" applyBorder="1" applyAlignment="1">
      <alignment horizontal="center" vertical="center" wrapText="1"/>
    </xf>
    <xf numFmtId="0" fontId="40" fillId="0" borderId="1" xfId="0" applyFont="1" applyBorder="1" applyAlignment="1">
      <alignment vertical="center" wrapText="1"/>
    </xf>
    <xf numFmtId="166" fontId="41" fillId="0" borderId="15" xfId="1" applyNumberFormat="1" applyFont="1" applyFill="1" applyBorder="1" applyAlignment="1">
      <alignment horizontal="center" vertical="center" wrapText="1"/>
    </xf>
    <xf numFmtId="0" fontId="42" fillId="0" borderId="1" xfId="0" applyFont="1" applyBorder="1" applyAlignment="1">
      <alignment horizontal="center" vertical="center"/>
    </xf>
    <xf numFmtId="0" fontId="43" fillId="0" borderId="0" xfId="0" applyFont="1"/>
    <xf numFmtId="0" fontId="42" fillId="0" borderId="0" xfId="0" applyFont="1"/>
    <xf numFmtId="166" fontId="42" fillId="0" borderId="0" xfId="0" applyNumberFormat="1" applyFont="1"/>
    <xf numFmtId="167" fontId="42" fillId="0" borderId="0" xfId="1" applyNumberFormat="1" applyFont="1" applyFill="1"/>
    <xf numFmtId="9" fontId="41" fillId="0" borderId="1" xfId="2" applyFont="1" applyFill="1" applyBorder="1" applyAlignment="1">
      <alignment horizontal="center" vertical="center" wrapText="1"/>
    </xf>
    <xf numFmtId="166" fontId="34" fillId="0" borderId="15" xfId="1" applyNumberFormat="1" applyFont="1" applyBorder="1" applyAlignment="1">
      <alignment horizontal="center" vertical="center" wrapText="1"/>
    </xf>
    <xf numFmtId="166" fontId="33" fillId="0" borderId="1" xfId="1" applyNumberFormat="1" applyFont="1" applyFill="1" applyBorder="1" applyAlignment="1">
      <alignment horizontal="center" vertical="center" wrapText="1"/>
    </xf>
    <xf numFmtId="166" fontId="32" fillId="4" borderId="1" xfId="1" applyNumberFormat="1" applyFont="1" applyFill="1" applyBorder="1" applyAlignment="1">
      <alignment horizontal="center" vertical="center" wrapText="1"/>
    </xf>
    <xf numFmtId="166" fontId="23" fillId="0" borderId="0" xfId="0" applyNumberFormat="1" applyFont="1"/>
    <xf numFmtId="16" fontId="31" fillId="0" borderId="1" xfId="0" applyNumberFormat="1" applyFont="1" applyBorder="1" applyAlignment="1">
      <alignment horizontal="center" vertical="center"/>
    </xf>
    <xf numFmtId="166" fontId="32" fillId="0" borderId="0" xfId="1" applyNumberFormat="1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/>
    </xf>
    <xf numFmtId="164" fontId="34" fillId="0" borderId="0" xfId="0" applyNumberFormat="1" applyFont="1" applyAlignment="1">
      <alignment horizontal="center" vertical="center" wrapText="1"/>
    </xf>
    <xf numFmtId="166" fontId="32" fillId="0" borderId="0" xfId="1" applyNumberFormat="1" applyFont="1" applyBorder="1" applyAlignment="1">
      <alignment horizontal="left" vertical="center" wrapText="1"/>
    </xf>
    <xf numFmtId="166" fontId="32" fillId="0" borderId="0" xfId="1" applyNumberFormat="1" applyFont="1" applyBorder="1" applyAlignment="1">
      <alignment horizontal="center" vertical="center" wrapText="1"/>
    </xf>
    <xf numFmtId="166" fontId="33" fillId="0" borderId="1" xfId="1" applyNumberFormat="1" applyFont="1" applyBorder="1" applyAlignment="1">
      <alignment horizontal="right" vertical="center"/>
    </xf>
    <xf numFmtId="0" fontId="14" fillId="0" borderId="0" xfId="0" applyFont="1" applyAlignment="1">
      <alignment vertical="center"/>
    </xf>
    <xf numFmtId="167" fontId="0" fillId="0" borderId="1" xfId="1" applyNumberFormat="1" applyFont="1" applyBorder="1" applyAlignment="1">
      <alignment horizontal="center" vertical="center" wrapText="1"/>
    </xf>
    <xf numFmtId="9" fontId="34" fillId="0" borderId="1" xfId="0" applyNumberFormat="1" applyFont="1" applyBorder="1" applyAlignment="1">
      <alignment horizontal="center" vertical="center" wrapText="1"/>
    </xf>
    <xf numFmtId="166" fontId="32" fillId="0" borderId="1" xfId="1" applyNumberFormat="1" applyFont="1" applyFill="1" applyBorder="1" applyAlignment="1">
      <alignment horizontal="left" vertical="center" wrapText="1"/>
    </xf>
    <xf numFmtId="166" fontId="32" fillId="0" borderId="15" xfId="1" applyNumberFormat="1" applyFont="1" applyFill="1" applyBorder="1" applyAlignment="1">
      <alignment horizontal="center" vertical="center" wrapText="1"/>
    </xf>
    <xf numFmtId="166" fontId="32" fillId="5" borderId="1" xfId="1" applyNumberFormat="1" applyFont="1" applyFill="1" applyBorder="1" applyAlignment="1">
      <alignment horizontal="center" vertical="center" wrapText="1"/>
    </xf>
    <xf numFmtId="0" fontId="7" fillId="0" borderId="30" xfId="0" applyFont="1" applyBorder="1"/>
    <xf numFmtId="166" fontId="32" fillId="6" borderId="1" xfId="1" applyNumberFormat="1" applyFont="1" applyFill="1" applyBorder="1" applyAlignment="1">
      <alignment horizontal="center" vertical="center" wrapText="1"/>
    </xf>
    <xf numFmtId="0" fontId="48" fillId="0" borderId="0" xfId="0" applyFont="1"/>
    <xf numFmtId="0" fontId="47" fillId="0" borderId="0" xfId="0" applyFont="1"/>
    <xf numFmtId="0" fontId="31" fillId="0" borderId="1" xfId="0" applyFont="1" applyBorder="1"/>
    <xf numFmtId="166" fontId="31" fillId="0" borderId="1" xfId="0" applyNumberFormat="1" applyFont="1" applyBorder="1"/>
    <xf numFmtId="0" fontId="31" fillId="0" borderId="1" xfId="0" applyFont="1" applyBorder="1" applyAlignment="1">
      <alignment horizontal="center"/>
    </xf>
    <xf numFmtId="164" fontId="33" fillId="0" borderId="0" xfId="0" applyNumberFormat="1" applyFont="1" applyAlignment="1">
      <alignment horizontal="center"/>
    </xf>
    <xf numFmtId="164" fontId="33" fillId="0" borderId="15" xfId="0" applyNumberFormat="1" applyFont="1" applyBorder="1" applyAlignment="1">
      <alignment horizontal="center" vertical="center"/>
    </xf>
    <xf numFmtId="164" fontId="33" fillId="0" borderId="29" xfId="0" applyNumberFormat="1" applyFont="1" applyBorder="1" applyAlignment="1">
      <alignment horizontal="center" vertical="center"/>
    </xf>
    <xf numFmtId="164" fontId="33" fillId="0" borderId="8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33" fillId="0" borderId="1" xfId="0" applyNumberFormat="1" applyFont="1" applyBorder="1" applyAlignment="1">
      <alignment horizontal="center"/>
    </xf>
    <xf numFmtId="164" fontId="49" fillId="0" borderId="0" xfId="7" applyNumberFormat="1" applyAlignment="1">
      <alignment horizontal="center" vertical="center" wrapText="1"/>
    </xf>
    <xf numFmtId="164" fontId="34" fillId="0" borderId="0" xfId="0" applyNumberFormat="1" applyFont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/>
    </xf>
    <xf numFmtId="164" fontId="12" fillId="0" borderId="25" xfId="0" applyNumberFormat="1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17" fillId="0" borderId="24" xfId="0" applyFont="1" applyBorder="1" applyAlignment="1">
      <alignment horizontal="center" vertical="center"/>
    </xf>
    <xf numFmtId="0" fontId="17" fillId="0" borderId="22" xfId="0" applyFont="1" applyBorder="1" applyAlignment="1">
      <alignment horizontal="center" vertical="center"/>
    </xf>
    <xf numFmtId="0" fontId="38" fillId="0" borderId="11" xfId="0" applyFont="1" applyBorder="1" applyAlignment="1">
      <alignment horizontal="center"/>
    </xf>
    <xf numFmtId="0" fontId="38" fillId="0" borderId="12" xfId="0" applyFont="1" applyBorder="1" applyAlignment="1">
      <alignment horizontal="center"/>
    </xf>
    <xf numFmtId="0" fontId="38" fillId="0" borderId="13" xfId="0" applyFont="1" applyBorder="1" applyAlignment="1">
      <alignment horizontal="center"/>
    </xf>
    <xf numFmtId="0" fontId="24" fillId="0" borderId="20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</cellXfs>
  <cellStyles count="8">
    <cellStyle name="Hipervínculo" xfId="7" builtinId="8"/>
    <cellStyle name="Millares" xfId="1" builtinId="3"/>
    <cellStyle name="Normal" xfId="0" builtinId="0"/>
    <cellStyle name="Normal 2" xfId="4" xr:uid="{C948BB6E-131A-4179-8718-B62E62F42350}"/>
    <cellStyle name="Normal 3" xfId="3" xr:uid="{E66D8AA6-CE3B-4E75-9371-0CB921ACB469}"/>
    <cellStyle name="Porcentaje" xfId="2" builtinId="5"/>
    <cellStyle name="常规 2" xfId="5" xr:uid="{8FF8CFAD-9572-4236-AB9A-225C4CB64CB3}"/>
    <cellStyle name="常规 4 2" xfId="6" xr:uid="{AC751597-3377-4AD8-B9F1-D9145DB507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cs.google.com/spreadsheets/d/1lxoDz8uWrdHBxYFsmm2bkrHRShy1Y74z/edit?usp=sharing&amp;ouid=103171834217440292860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924C7-DEBF-40DB-9040-5E072283AD39}">
  <sheetPr>
    <pageSetUpPr fitToPage="1"/>
  </sheetPr>
  <dimension ref="A1:R200"/>
  <sheetViews>
    <sheetView tabSelected="1" topLeftCell="A161" zoomScale="54" zoomScaleNormal="54" workbookViewId="0">
      <selection activeCell="P183" sqref="P183"/>
    </sheetView>
  </sheetViews>
  <sheetFormatPr baseColWidth="10" defaultColWidth="24" defaultRowHeight="18.75"/>
  <cols>
    <col min="1" max="1" width="14.7109375" style="149" customWidth="1"/>
    <col min="2" max="2" width="29.85546875" style="150" customWidth="1"/>
    <col min="3" max="3" width="14.7109375" style="151" customWidth="1"/>
    <col min="4" max="4" width="15.42578125" style="152" bestFit="1" customWidth="1"/>
    <col min="5" max="5" width="17.85546875" style="151" customWidth="1"/>
    <col min="6" max="6" width="30.5703125" style="210" customWidth="1"/>
    <col min="7" max="7" width="17.85546875" style="150" customWidth="1"/>
    <col min="8" max="8" width="15" style="153" bestFit="1" customWidth="1"/>
    <col min="9" max="9" width="13.42578125" style="3" bestFit="1" customWidth="1"/>
    <col min="10" max="10" width="10" style="3" bestFit="1" customWidth="1"/>
    <col min="11" max="11" width="12.5703125" style="3" bestFit="1" customWidth="1"/>
    <col min="12" max="13" width="13.28515625" style="3" bestFit="1" customWidth="1"/>
    <col min="14" max="14" width="11.28515625" style="3" bestFit="1" customWidth="1"/>
    <col min="15" max="15" width="13.7109375" style="101" customWidth="1"/>
    <col min="16" max="16" width="13.28515625" style="3" bestFit="1" customWidth="1"/>
    <col min="17" max="16384" width="24" style="3"/>
  </cols>
  <sheetData>
    <row r="1" spans="1:17">
      <c r="J1" s="113" t="s">
        <v>160</v>
      </c>
      <c r="K1" s="113" t="s">
        <v>161</v>
      </c>
      <c r="L1" s="113" t="s">
        <v>165</v>
      </c>
      <c r="M1" s="113" t="s">
        <v>162</v>
      </c>
      <c r="N1" s="113" t="s">
        <v>5</v>
      </c>
    </row>
    <row r="2" spans="1:17">
      <c r="J2" s="34" t="s">
        <v>158</v>
      </c>
      <c r="K2" s="114">
        <f>+SUMIFS(D:D,H:H,J2)</f>
        <v>133300</v>
      </c>
      <c r="L2" s="114">
        <f>-SUMIFS(C:C,H:H,J2,I:I,"T")</f>
        <v>0</v>
      </c>
      <c r="M2" s="114">
        <f>-SUMIFS(C:C,H:H,J2,I:I,"G")</f>
        <v>-3699</v>
      </c>
      <c r="N2" s="114">
        <f>+SUM(K2:M2)</f>
        <v>129601</v>
      </c>
      <c r="O2" s="101">
        <f>+N2/2</f>
        <v>64800.5</v>
      </c>
      <c r="Q2" s="112">
        <f>+K2*1500</f>
        <v>199950000</v>
      </c>
    </row>
    <row r="3" spans="1:17">
      <c r="J3" s="34" t="s">
        <v>144</v>
      </c>
      <c r="K3" s="114">
        <f>+SUMIFS(D:D,H:H,J3)</f>
        <v>108672.88000000002</v>
      </c>
      <c r="L3" s="114">
        <f>-SUMIFS(C:C,H:H,J3,I:I,"T")</f>
        <v>-177036.33</v>
      </c>
      <c r="M3" s="114">
        <f>-SUMIFS(C:C,H:H,J3,I:I,"G")</f>
        <v>-8493.8464999999997</v>
      </c>
      <c r="N3" s="114">
        <f>+SUM(K3:M3)</f>
        <v>-76857.296499999968</v>
      </c>
      <c r="O3" s="101">
        <f>+O2+N3</f>
        <v>-12056.796499999968</v>
      </c>
      <c r="P3" s="100"/>
      <c r="Q3" s="3">
        <f>+Q2/5000000</f>
        <v>39.99</v>
      </c>
    </row>
    <row r="4" spans="1:17">
      <c r="J4" s="34" t="s">
        <v>145</v>
      </c>
      <c r="K4" s="114">
        <f>+SUMIFS(D:D,H:H,J4)</f>
        <v>164108.91999999998</v>
      </c>
      <c r="L4" s="114">
        <f>-SUMIFS(C:C,H:H,J4,I:I,"T")</f>
        <v>-204105.8</v>
      </c>
      <c r="M4" s="114">
        <f>-SUMIFS(C:C,H:H,J4,I:I,"G")</f>
        <v>-8189.3675999999987</v>
      </c>
      <c r="N4" s="114">
        <f>+SUM(K4:M4)</f>
        <v>-48186.247600000002</v>
      </c>
      <c r="O4" s="101">
        <f>+O2+N4</f>
        <v>16614.252399999998</v>
      </c>
      <c r="Q4" s="100"/>
    </row>
    <row r="5" spans="1:17">
      <c r="J5" s="300" t="s">
        <v>163</v>
      </c>
      <c r="K5" s="300"/>
      <c r="L5" s="300"/>
      <c r="M5" s="34"/>
      <c r="N5" s="114">
        <f>+E140</f>
        <v>12335.32889999999</v>
      </c>
      <c r="O5" s="101">
        <f>+N3+N4</f>
        <v>-125043.54409999997</v>
      </c>
      <c r="P5" s="115">
        <f>+N5-O5</f>
        <v>137378.87299999996</v>
      </c>
    </row>
    <row r="6" spans="1:17" ht="19.5" thickBot="1">
      <c r="J6" s="34" t="s">
        <v>164</v>
      </c>
      <c r="K6" s="114">
        <f>SUM(K2:K4)</f>
        <v>406081.8</v>
      </c>
      <c r="L6" s="114">
        <f>SUM(L2:L4)</f>
        <v>-381142.13</v>
      </c>
      <c r="M6" s="114">
        <f>SUM(M2:M4)</f>
        <v>-20382.214099999997</v>
      </c>
      <c r="N6" s="114">
        <f>+N5-L6-M6</f>
        <v>413859.67299999995</v>
      </c>
    </row>
    <row r="7" spans="1:17" s="2" customFormat="1" ht="33.75" thickBot="1">
      <c r="A7" s="154" t="s">
        <v>0</v>
      </c>
      <c r="B7" s="155" t="s">
        <v>1</v>
      </c>
      <c r="C7" s="156" t="s">
        <v>3</v>
      </c>
      <c r="D7" s="157" t="s">
        <v>4</v>
      </c>
      <c r="E7" s="158" t="s">
        <v>5</v>
      </c>
      <c r="F7" s="159" t="s">
        <v>2</v>
      </c>
      <c r="G7" s="160" t="s">
        <v>33</v>
      </c>
      <c r="H7" s="161" t="s">
        <v>160</v>
      </c>
      <c r="I7" s="125" t="s">
        <v>167</v>
      </c>
      <c r="O7" s="116"/>
    </row>
    <row r="8" spans="1:17" ht="27" customHeight="1">
      <c r="A8" s="162">
        <v>45462</v>
      </c>
      <c r="B8" s="163" t="s">
        <v>6</v>
      </c>
      <c r="C8" s="164"/>
      <c r="D8" s="165">
        <v>4300</v>
      </c>
      <c r="E8" s="166">
        <f>+D8-C8</f>
        <v>4300</v>
      </c>
      <c r="F8" s="211" t="s">
        <v>25</v>
      </c>
      <c r="G8" s="167"/>
      <c r="H8" s="168" t="s">
        <v>158</v>
      </c>
      <c r="I8" s="34"/>
      <c r="L8" s="115"/>
      <c r="M8" s="115"/>
    </row>
    <row r="9" spans="1:17" ht="27" customHeight="1">
      <c r="A9" s="162">
        <v>45462</v>
      </c>
      <c r="B9" s="163" t="s">
        <v>7</v>
      </c>
      <c r="C9" s="169">
        <v>129</v>
      </c>
      <c r="D9" s="170"/>
      <c r="E9" s="171">
        <f>+E8+D9-C9</f>
        <v>4171</v>
      </c>
      <c r="F9" s="212" t="s">
        <v>15</v>
      </c>
      <c r="G9" s="173"/>
      <c r="H9" s="168" t="s">
        <v>158</v>
      </c>
      <c r="I9" s="34" t="s">
        <v>166</v>
      </c>
    </row>
    <row r="10" spans="1:17" ht="27" customHeight="1">
      <c r="A10" s="162">
        <v>45467</v>
      </c>
      <c r="B10" s="163" t="s">
        <v>8</v>
      </c>
      <c r="C10" s="169">
        <v>398</v>
      </c>
      <c r="D10" s="170"/>
      <c r="E10" s="171">
        <f t="shared" ref="E10:E73" si="0">+E9+D10-C10</f>
        <v>3773</v>
      </c>
      <c r="F10" s="212" t="s">
        <v>20</v>
      </c>
      <c r="G10" s="173" t="s">
        <v>43</v>
      </c>
      <c r="H10" s="168" t="s">
        <v>144</v>
      </c>
      <c r="I10" s="34" t="s">
        <v>166</v>
      </c>
    </row>
    <row r="11" spans="1:17" ht="27" customHeight="1">
      <c r="A11" s="162">
        <v>45471</v>
      </c>
      <c r="B11" s="163" t="s">
        <v>6</v>
      </c>
      <c r="C11" s="169"/>
      <c r="D11" s="170">
        <v>7000</v>
      </c>
      <c r="E11" s="171">
        <f t="shared" si="0"/>
        <v>10773</v>
      </c>
      <c r="F11" s="212" t="s">
        <v>24</v>
      </c>
      <c r="G11" s="173" t="s">
        <v>34</v>
      </c>
      <c r="H11" s="168" t="s">
        <v>145</v>
      </c>
      <c r="I11" s="34"/>
    </row>
    <row r="12" spans="1:17" ht="27" customHeight="1">
      <c r="A12" s="162">
        <v>45471</v>
      </c>
      <c r="B12" s="163" t="s">
        <v>7</v>
      </c>
      <c r="C12" s="169">
        <v>210</v>
      </c>
      <c r="D12" s="170"/>
      <c r="E12" s="171">
        <f t="shared" si="0"/>
        <v>10563</v>
      </c>
      <c r="F12" s="212" t="s">
        <v>15</v>
      </c>
      <c r="G12" s="173"/>
      <c r="H12" s="168" t="s">
        <v>145</v>
      </c>
      <c r="I12" s="34" t="s">
        <v>166</v>
      </c>
    </row>
    <row r="13" spans="1:17" ht="27" customHeight="1">
      <c r="A13" s="162">
        <v>45478</v>
      </c>
      <c r="B13" s="163" t="s">
        <v>9</v>
      </c>
      <c r="C13" s="169">
        <v>7000</v>
      </c>
      <c r="D13" s="170"/>
      <c r="E13" s="171">
        <f t="shared" si="0"/>
        <v>3563</v>
      </c>
      <c r="F13" s="212" t="s">
        <v>21</v>
      </c>
      <c r="G13" s="173" t="s">
        <v>37</v>
      </c>
      <c r="H13" s="168" t="s">
        <v>145</v>
      </c>
      <c r="I13" s="34" t="s">
        <v>159</v>
      </c>
    </row>
    <row r="14" spans="1:17" ht="27" customHeight="1">
      <c r="A14" s="162">
        <v>45478</v>
      </c>
      <c r="B14" s="163" t="s">
        <v>9</v>
      </c>
      <c r="C14" s="169">
        <v>14.73</v>
      </c>
      <c r="D14" s="170"/>
      <c r="E14" s="171">
        <f t="shared" si="0"/>
        <v>3548.27</v>
      </c>
      <c r="F14" s="212" t="s">
        <v>30</v>
      </c>
      <c r="G14" s="173"/>
      <c r="H14" s="168" t="s">
        <v>145</v>
      </c>
      <c r="I14" s="34" t="s">
        <v>159</v>
      </c>
    </row>
    <row r="15" spans="1:17" ht="27" customHeight="1">
      <c r="A15" s="162">
        <v>45485</v>
      </c>
      <c r="B15" s="163" t="s">
        <v>10</v>
      </c>
      <c r="C15" s="169">
        <v>4063.5</v>
      </c>
      <c r="D15" s="170"/>
      <c r="E15" s="171">
        <f t="shared" si="0"/>
        <v>-515.23</v>
      </c>
      <c r="F15" s="212" t="s">
        <v>19</v>
      </c>
      <c r="G15" s="173" t="s">
        <v>43</v>
      </c>
      <c r="H15" s="168" t="s">
        <v>144</v>
      </c>
      <c r="I15" s="34" t="s">
        <v>159</v>
      </c>
      <c r="J15"/>
    </row>
    <row r="16" spans="1:17" ht="27" customHeight="1">
      <c r="A16" s="162">
        <v>45485</v>
      </c>
      <c r="B16" s="163" t="s">
        <v>10</v>
      </c>
      <c r="C16" s="169">
        <v>7.06</v>
      </c>
      <c r="D16" s="170"/>
      <c r="E16" s="171">
        <f t="shared" si="0"/>
        <v>-522.29</v>
      </c>
      <c r="F16" s="212" t="s">
        <v>30</v>
      </c>
      <c r="G16" s="173"/>
      <c r="H16" s="168" t="s">
        <v>144</v>
      </c>
      <c r="I16" s="34" t="s">
        <v>159</v>
      </c>
      <c r="J16"/>
    </row>
    <row r="17" spans="1:10" ht="27" customHeight="1">
      <c r="A17" s="162" t="s">
        <v>11</v>
      </c>
      <c r="B17" s="163" t="s">
        <v>6</v>
      </c>
      <c r="C17" s="169"/>
      <c r="D17" s="170">
        <v>10000</v>
      </c>
      <c r="E17" s="171">
        <f t="shared" si="0"/>
        <v>9477.7099999999991</v>
      </c>
      <c r="F17" s="212" t="s">
        <v>24</v>
      </c>
      <c r="G17" s="173"/>
      <c r="H17" s="168" t="s">
        <v>158</v>
      </c>
      <c r="I17" s="34"/>
      <c r="J17"/>
    </row>
    <row r="18" spans="1:10" ht="27" customHeight="1">
      <c r="A18" s="162">
        <v>45512</v>
      </c>
      <c r="B18" s="163" t="s">
        <v>6</v>
      </c>
      <c r="C18" s="169"/>
      <c r="D18" s="170">
        <v>10000</v>
      </c>
      <c r="E18" s="171">
        <f t="shared" si="0"/>
        <v>19477.71</v>
      </c>
      <c r="F18" s="212" t="s">
        <v>26</v>
      </c>
      <c r="G18" s="173"/>
      <c r="H18" s="168" t="s">
        <v>158</v>
      </c>
      <c r="I18" s="34"/>
      <c r="J18"/>
    </row>
    <row r="19" spans="1:10" ht="27" customHeight="1">
      <c r="A19" s="162">
        <v>45512</v>
      </c>
      <c r="B19" s="163" t="s">
        <v>7</v>
      </c>
      <c r="C19" s="169">
        <v>600</v>
      </c>
      <c r="D19" s="170"/>
      <c r="E19" s="171">
        <f t="shared" si="0"/>
        <v>18877.71</v>
      </c>
      <c r="F19" s="212" t="s">
        <v>15</v>
      </c>
      <c r="G19" s="173"/>
      <c r="H19" s="168" t="s">
        <v>158</v>
      </c>
      <c r="I19" s="34" t="s">
        <v>166</v>
      </c>
      <c r="J19"/>
    </row>
    <row r="20" spans="1:10" ht="27" customHeight="1">
      <c r="A20" s="162">
        <v>45523</v>
      </c>
      <c r="B20" s="163" t="s">
        <v>12</v>
      </c>
      <c r="C20" s="169">
        <v>3000</v>
      </c>
      <c r="D20" s="170"/>
      <c r="E20" s="171">
        <f t="shared" si="0"/>
        <v>15877.71</v>
      </c>
      <c r="F20" s="212" t="s">
        <v>17</v>
      </c>
      <c r="G20" s="173" t="s">
        <v>36</v>
      </c>
      <c r="H20" s="168" t="s">
        <v>145</v>
      </c>
      <c r="I20" s="34" t="s">
        <v>159</v>
      </c>
      <c r="J20"/>
    </row>
    <row r="21" spans="1:10" ht="27" customHeight="1">
      <c r="A21" s="162">
        <v>45523</v>
      </c>
      <c r="B21" s="163" t="s">
        <v>12</v>
      </c>
      <c r="C21" s="169">
        <v>7.06</v>
      </c>
      <c r="D21" s="170"/>
      <c r="E21" s="171">
        <f t="shared" si="0"/>
        <v>15870.65</v>
      </c>
      <c r="F21" s="212" t="s">
        <v>30</v>
      </c>
      <c r="G21" s="173"/>
      <c r="H21" s="168" t="s">
        <v>145</v>
      </c>
      <c r="I21" s="34" t="s">
        <v>159</v>
      </c>
      <c r="J21"/>
    </row>
    <row r="22" spans="1:10" ht="27" customHeight="1">
      <c r="A22" s="162">
        <v>45526</v>
      </c>
      <c r="B22" s="163" t="s">
        <v>13</v>
      </c>
      <c r="C22" s="169">
        <v>9481.5</v>
      </c>
      <c r="D22" s="170"/>
      <c r="E22" s="171">
        <f t="shared" si="0"/>
        <v>6389.15</v>
      </c>
      <c r="F22" s="212" t="s">
        <v>18</v>
      </c>
      <c r="G22" s="173" t="s">
        <v>43</v>
      </c>
      <c r="H22" s="168" t="s">
        <v>144</v>
      </c>
      <c r="I22" s="34" t="s">
        <v>159</v>
      </c>
      <c r="J22"/>
    </row>
    <row r="23" spans="1:10" ht="27" customHeight="1">
      <c r="A23" s="162">
        <v>45526</v>
      </c>
      <c r="B23" s="163" t="s">
        <v>13</v>
      </c>
      <c r="C23" s="169">
        <v>7.06</v>
      </c>
      <c r="D23" s="170"/>
      <c r="E23" s="171">
        <f t="shared" si="0"/>
        <v>6382.0899999999992</v>
      </c>
      <c r="F23" s="212" t="s">
        <v>30</v>
      </c>
      <c r="G23" s="173"/>
      <c r="H23" s="168" t="s">
        <v>144</v>
      </c>
      <c r="I23" s="34" t="s">
        <v>159</v>
      </c>
      <c r="J23"/>
    </row>
    <row r="24" spans="1:10" ht="27" customHeight="1">
      <c r="A24" s="162">
        <v>45595</v>
      </c>
      <c r="B24" s="163" t="s">
        <v>14</v>
      </c>
      <c r="C24" s="169">
        <v>6060</v>
      </c>
      <c r="D24" s="170"/>
      <c r="E24" s="171">
        <f t="shared" si="0"/>
        <v>322.08999999999924</v>
      </c>
      <c r="F24" s="212" t="s">
        <v>16</v>
      </c>
      <c r="G24" s="173" t="s">
        <v>36</v>
      </c>
      <c r="H24" s="168" t="s">
        <v>145</v>
      </c>
      <c r="I24" s="34" t="s">
        <v>159</v>
      </c>
      <c r="J24"/>
    </row>
    <row r="25" spans="1:10" ht="27" customHeight="1">
      <c r="A25" s="162">
        <v>45595</v>
      </c>
      <c r="B25" s="163" t="s">
        <v>14</v>
      </c>
      <c r="C25" s="169">
        <v>7.08</v>
      </c>
      <c r="D25" s="170"/>
      <c r="E25" s="171">
        <f t="shared" si="0"/>
        <v>315.00999999999925</v>
      </c>
      <c r="F25" s="212" t="s">
        <v>30</v>
      </c>
      <c r="G25" s="173"/>
      <c r="H25" s="168" t="s">
        <v>145</v>
      </c>
      <c r="I25" s="34" t="s">
        <v>159</v>
      </c>
      <c r="J25"/>
    </row>
    <row r="26" spans="1:10" ht="27" customHeight="1">
      <c r="A26" s="162">
        <v>45616</v>
      </c>
      <c r="B26" s="163" t="s">
        <v>6</v>
      </c>
      <c r="C26" s="169"/>
      <c r="D26" s="170">
        <v>25000</v>
      </c>
      <c r="E26" s="171">
        <f t="shared" si="0"/>
        <v>25315.01</v>
      </c>
      <c r="F26" s="212" t="s">
        <v>28</v>
      </c>
      <c r="G26" s="173"/>
      <c r="H26" s="168" t="s">
        <v>158</v>
      </c>
      <c r="I26" s="34"/>
      <c r="J26"/>
    </row>
    <row r="27" spans="1:10" ht="27" customHeight="1">
      <c r="A27" s="162">
        <v>45616</v>
      </c>
      <c r="B27" s="163" t="s">
        <v>7</v>
      </c>
      <c r="C27" s="169">
        <f>+D26*0.03</f>
        <v>750</v>
      </c>
      <c r="D27" s="170"/>
      <c r="E27" s="171">
        <f t="shared" si="0"/>
        <v>24565.01</v>
      </c>
      <c r="F27" s="212" t="s">
        <v>15</v>
      </c>
      <c r="G27" s="173"/>
      <c r="H27" s="168" t="s">
        <v>158</v>
      </c>
      <c r="I27" s="34" t="s">
        <v>166</v>
      </c>
      <c r="J27"/>
    </row>
    <row r="28" spans="1:10" ht="27" customHeight="1">
      <c r="A28" s="162">
        <v>45616</v>
      </c>
      <c r="B28" s="163" t="s">
        <v>29</v>
      </c>
      <c r="C28" s="169">
        <v>10657.76</v>
      </c>
      <c r="D28" s="170"/>
      <c r="E28" s="171">
        <f t="shared" si="0"/>
        <v>13907.249999999998</v>
      </c>
      <c r="F28" s="212" t="s">
        <v>27</v>
      </c>
      <c r="G28" s="173" t="s">
        <v>37</v>
      </c>
      <c r="H28" s="168" t="s">
        <v>145</v>
      </c>
      <c r="I28" s="34" t="s">
        <v>159</v>
      </c>
      <c r="J28"/>
    </row>
    <row r="29" spans="1:10" ht="27" customHeight="1">
      <c r="A29" s="162">
        <v>45616</v>
      </c>
      <c r="B29" s="163" t="s">
        <v>29</v>
      </c>
      <c r="C29" s="169">
        <f>10672.54-C28</f>
        <v>14.780000000000655</v>
      </c>
      <c r="D29" s="170"/>
      <c r="E29" s="171">
        <f t="shared" si="0"/>
        <v>13892.469999999998</v>
      </c>
      <c r="F29" s="212" t="s">
        <v>30</v>
      </c>
      <c r="G29" s="173"/>
      <c r="H29" s="168" t="s">
        <v>145</v>
      </c>
      <c r="I29" s="34" t="s">
        <v>159</v>
      </c>
      <c r="J29"/>
    </row>
    <row r="30" spans="1:10" ht="27" customHeight="1">
      <c r="A30" s="162">
        <v>45618</v>
      </c>
      <c r="B30" s="163" t="s">
        <v>32</v>
      </c>
      <c r="C30" s="174">
        <v>5200</v>
      </c>
      <c r="D30" s="175"/>
      <c r="E30" s="171">
        <f t="shared" si="0"/>
        <v>8692.4699999999975</v>
      </c>
      <c r="F30" s="213" t="s">
        <v>31</v>
      </c>
      <c r="G30" s="173" t="s">
        <v>35</v>
      </c>
      <c r="H30" s="168" t="s">
        <v>145</v>
      </c>
      <c r="I30" s="34" t="s">
        <v>159</v>
      </c>
      <c r="J30"/>
    </row>
    <row r="31" spans="1:10" ht="27" customHeight="1">
      <c r="A31" s="162">
        <v>45618</v>
      </c>
      <c r="B31" s="163" t="s">
        <v>32</v>
      </c>
      <c r="C31" s="174">
        <v>14.78</v>
      </c>
      <c r="D31" s="175"/>
      <c r="E31" s="171">
        <f t="shared" si="0"/>
        <v>8677.6899999999969</v>
      </c>
      <c r="F31" s="212" t="s">
        <v>30</v>
      </c>
      <c r="G31" s="173"/>
      <c r="H31" s="168" t="s">
        <v>145</v>
      </c>
      <c r="I31" s="34" t="s">
        <v>159</v>
      </c>
      <c r="J31"/>
    </row>
    <row r="32" spans="1:10" ht="27" customHeight="1">
      <c r="A32" s="162">
        <v>45625</v>
      </c>
      <c r="B32" s="163" t="s">
        <v>50</v>
      </c>
      <c r="C32" s="174">
        <v>3000</v>
      </c>
      <c r="D32" s="175"/>
      <c r="E32" s="171">
        <f t="shared" si="0"/>
        <v>5677.6899999999969</v>
      </c>
      <c r="F32" s="213" t="s">
        <v>47</v>
      </c>
      <c r="G32" s="173" t="s">
        <v>39</v>
      </c>
      <c r="H32" s="168" t="s">
        <v>144</v>
      </c>
      <c r="I32" s="34" t="s">
        <v>159</v>
      </c>
      <c r="J32"/>
    </row>
    <row r="33" spans="1:15" ht="27" customHeight="1">
      <c r="A33" s="162">
        <v>45625</v>
      </c>
      <c r="B33" s="163" t="s">
        <v>44</v>
      </c>
      <c r="C33" s="174">
        <v>14.77</v>
      </c>
      <c r="D33" s="175"/>
      <c r="E33" s="171">
        <f t="shared" si="0"/>
        <v>5662.9199999999964</v>
      </c>
      <c r="F33" s="213" t="s">
        <v>30</v>
      </c>
      <c r="G33" s="173"/>
      <c r="H33" s="168" t="s">
        <v>144</v>
      </c>
      <c r="I33" s="34" t="s">
        <v>159</v>
      </c>
      <c r="J33"/>
    </row>
    <row r="34" spans="1:15" ht="27" customHeight="1">
      <c r="A34" s="162">
        <v>45625</v>
      </c>
      <c r="B34" s="163" t="s">
        <v>6</v>
      </c>
      <c r="C34" s="174"/>
      <c r="D34" s="175">
        <v>10000</v>
      </c>
      <c r="E34" s="171">
        <f t="shared" si="0"/>
        <v>15662.919999999996</v>
      </c>
      <c r="F34" s="212" t="s">
        <v>28</v>
      </c>
      <c r="G34" s="173"/>
      <c r="H34" s="168" t="s">
        <v>158</v>
      </c>
      <c r="I34" s="34"/>
      <c r="J34"/>
    </row>
    <row r="35" spans="1:15" ht="27" customHeight="1">
      <c r="A35" s="162">
        <v>45990</v>
      </c>
      <c r="B35" s="163" t="s">
        <v>7</v>
      </c>
      <c r="C35" s="174">
        <v>300</v>
      </c>
      <c r="D35" s="175"/>
      <c r="E35" s="171">
        <f t="shared" si="0"/>
        <v>15362.919999999996</v>
      </c>
      <c r="F35" s="212" t="s">
        <v>15</v>
      </c>
      <c r="G35" s="173"/>
      <c r="H35" s="168" t="s">
        <v>158</v>
      </c>
      <c r="I35" s="34" t="s">
        <v>166</v>
      </c>
      <c r="J35"/>
    </row>
    <row r="36" spans="1:15" s="2" customFormat="1" ht="27" customHeight="1">
      <c r="A36" s="177">
        <v>45628</v>
      </c>
      <c r="B36" s="178" t="s">
        <v>44</v>
      </c>
      <c r="C36" s="174">
        <v>8000</v>
      </c>
      <c r="D36" s="175"/>
      <c r="E36" s="171">
        <f t="shared" si="0"/>
        <v>7362.9199999999964</v>
      </c>
      <c r="F36" s="161" t="s">
        <v>40</v>
      </c>
      <c r="G36" s="179" t="s">
        <v>41</v>
      </c>
      <c r="H36" s="180" t="s">
        <v>145</v>
      </c>
      <c r="I36" s="113" t="s">
        <v>159</v>
      </c>
      <c r="J36"/>
      <c r="K36" s="3"/>
      <c r="L36" s="3"/>
      <c r="M36" s="3"/>
      <c r="N36" s="3"/>
      <c r="O36" s="116"/>
    </row>
    <row r="37" spans="1:15" s="2" customFormat="1" ht="27" customHeight="1">
      <c r="A37" s="177">
        <v>45993</v>
      </c>
      <c r="B37" s="178" t="s">
        <v>44</v>
      </c>
      <c r="C37" s="174">
        <v>14.77</v>
      </c>
      <c r="D37" s="175"/>
      <c r="E37" s="171">
        <f t="shared" si="0"/>
        <v>7348.149999999996</v>
      </c>
      <c r="F37" s="161" t="s">
        <v>30</v>
      </c>
      <c r="G37" s="179"/>
      <c r="H37" s="180" t="s">
        <v>145</v>
      </c>
      <c r="I37" s="113" t="s">
        <v>159</v>
      </c>
      <c r="J37"/>
      <c r="O37" s="116"/>
    </row>
    <row r="38" spans="1:15" s="4" customFormat="1" ht="27" customHeight="1">
      <c r="A38" s="177">
        <v>45628</v>
      </c>
      <c r="B38" s="178" t="s">
        <v>44</v>
      </c>
      <c r="C38" s="174">
        <v>7000</v>
      </c>
      <c r="D38" s="175"/>
      <c r="E38" s="171">
        <f t="shared" si="0"/>
        <v>348.149999999996</v>
      </c>
      <c r="F38" s="161" t="s">
        <v>42</v>
      </c>
      <c r="G38" s="181" t="s">
        <v>43</v>
      </c>
      <c r="H38" s="182" t="s">
        <v>144</v>
      </c>
      <c r="I38" s="126" t="s">
        <v>159</v>
      </c>
      <c r="J38"/>
      <c r="K38" s="2"/>
      <c r="L38" s="2"/>
      <c r="M38" s="2"/>
      <c r="N38" s="2"/>
      <c r="O38" s="117"/>
    </row>
    <row r="39" spans="1:15" s="4" customFormat="1" ht="27" customHeight="1">
      <c r="A39" s="177">
        <v>45628</v>
      </c>
      <c r="B39" s="178" t="s">
        <v>44</v>
      </c>
      <c r="C39" s="174">
        <v>7.07</v>
      </c>
      <c r="D39" s="175"/>
      <c r="E39" s="171">
        <f t="shared" si="0"/>
        <v>341.07999999999601</v>
      </c>
      <c r="F39" s="161" t="s">
        <v>30</v>
      </c>
      <c r="G39" s="181"/>
      <c r="H39" s="182" t="s">
        <v>144</v>
      </c>
      <c r="I39" s="126" t="s">
        <v>159</v>
      </c>
      <c r="J39"/>
      <c r="O39" s="117"/>
    </row>
    <row r="40" spans="1:15" ht="27" customHeight="1">
      <c r="A40" s="162">
        <v>45637</v>
      </c>
      <c r="B40" s="163" t="s">
        <v>49</v>
      </c>
      <c r="C40" s="174"/>
      <c r="D40" s="175">
        <v>13444.63</v>
      </c>
      <c r="E40" s="171">
        <f t="shared" si="0"/>
        <v>13785.709999999995</v>
      </c>
      <c r="F40" s="212" t="s">
        <v>22</v>
      </c>
      <c r="G40" s="181" t="s">
        <v>43</v>
      </c>
      <c r="H40" s="168" t="s">
        <v>144</v>
      </c>
      <c r="I40" s="34"/>
      <c r="J40"/>
      <c r="K40" s="4"/>
      <c r="L40" s="4"/>
      <c r="M40" s="4"/>
      <c r="N40" s="4"/>
    </row>
    <row r="41" spans="1:15" s="2" customFormat="1" ht="27" customHeight="1">
      <c r="A41" s="177">
        <v>45637</v>
      </c>
      <c r="B41" s="178" t="s">
        <v>51</v>
      </c>
      <c r="C41" s="174">
        <f>+D40*0.05</f>
        <v>672.23149999999998</v>
      </c>
      <c r="D41" s="175"/>
      <c r="E41" s="171">
        <f t="shared" si="0"/>
        <v>13113.478499999996</v>
      </c>
      <c r="F41" s="213" t="s">
        <v>23</v>
      </c>
      <c r="G41" s="179"/>
      <c r="H41" s="180" t="s">
        <v>144</v>
      </c>
      <c r="I41" s="113" t="s">
        <v>166</v>
      </c>
      <c r="J41"/>
      <c r="K41" s="3"/>
      <c r="L41" s="3"/>
      <c r="M41" s="3"/>
      <c r="N41" s="3"/>
      <c r="O41" s="116"/>
    </row>
    <row r="42" spans="1:15" s="2" customFormat="1" ht="27" customHeight="1">
      <c r="A42" s="177">
        <v>45652</v>
      </c>
      <c r="B42" s="178" t="s">
        <v>6</v>
      </c>
      <c r="C42" s="174"/>
      <c r="D42" s="175">
        <v>42000</v>
      </c>
      <c r="E42" s="171">
        <f t="shared" si="0"/>
        <v>55113.478499999997</v>
      </c>
      <c r="F42" s="161" t="s">
        <v>28</v>
      </c>
      <c r="G42" s="179"/>
      <c r="H42" s="180" t="s">
        <v>158</v>
      </c>
      <c r="I42" s="113"/>
      <c r="J42"/>
      <c r="O42" s="116"/>
    </row>
    <row r="43" spans="1:15" s="2" customFormat="1" ht="27" customHeight="1">
      <c r="A43" s="177">
        <v>46017</v>
      </c>
      <c r="B43" s="163" t="s">
        <v>7</v>
      </c>
      <c r="C43" s="174">
        <v>1260</v>
      </c>
      <c r="D43" s="175"/>
      <c r="E43" s="171">
        <f t="shared" si="0"/>
        <v>53853.478499999997</v>
      </c>
      <c r="F43" s="212" t="s">
        <v>15</v>
      </c>
      <c r="G43" s="179"/>
      <c r="H43" s="180" t="s">
        <v>158</v>
      </c>
      <c r="I43" s="113" t="s">
        <v>166</v>
      </c>
      <c r="J43"/>
      <c r="O43" s="116"/>
    </row>
    <row r="44" spans="1:15" s="2" customFormat="1" ht="27" customHeight="1">
      <c r="A44" s="177">
        <v>45663</v>
      </c>
      <c r="B44" s="178" t="s">
        <v>52</v>
      </c>
      <c r="C44" s="174">
        <v>900</v>
      </c>
      <c r="D44" s="175"/>
      <c r="E44" s="171">
        <f t="shared" si="0"/>
        <v>52953.478499999997</v>
      </c>
      <c r="F44" s="161" t="s">
        <v>53</v>
      </c>
      <c r="G44" s="179" t="s">
        <v>43</v>
      </c>
      <c r="H44" s="180" t="s">
        <v>144</v>
      </c>
      <c r="I44" s="113" t="s">
        <v>159</v>
      </c>
      <c r="J44"/>
      <c r="O44" s="116"/>
    </row>
    <row r="45" spans="1:15" s="2" customFormat="1" ht="27" customHeight="1">
      <c r="A45" s="177">
        <v>45663</v>
      </c>
      <c r="B45" s="178" t="s">
        <v>52</v>
      </c>
      <c r="C45" s="174">
        <v>7.07</v>
      </c>
      <c r="D45" s="175"/>
      <c r="E45" s="171">
        <f t="shared" si="0"/>
        <v>52946.408499999998</v>
      </c>
      <c r="F45" s="161" t="s">
        <v>30</v>
      </c>
      <c r="G45" s="179"/>
      <c r="H45" s="180" t="s">
        <v>144</v>
      </c>
      <c r="I45" s="113" t="s">
        <v>166</v>
      </c>
      <c r="J45"/>
      <c r="O45" s="116"/>
    </row>
    <row r="46" spans="1:15" s="2" customFormat="1" ht="27" customHeight="1">
      <c r="A46" s="177">
        <v>45663</v>
      </c>
      <c r="B46" s="178" t="s">
        <v>44</v>
      </c>
      <c r="C46" s="174">
        <v>7200</v>
      </c>
      <c r="D46" s="175"/>
      <c r="E46" s="171">
        <f t="shared" si="0"/>
        <v>45746.408499999998</v>
      </c>
      <c r="F46" s="161" t="s">
        <v>54</v>
      </c>
      <c r="G46" s="179" t="s">
        <v>38</v>
      </c>
      <c r="H46" s="180" t="s">
        <v>144</v>
      </c>
      <c r="I46" s="113" t="s">
        <v>159</v>
      </c>
      <c r="J46"/>
      <c r="O46" s="116"/>
    </row>
    <row r="47" spans="1:15" s="2" customFormat="1" ht="27" customHeight="1">
      <c r="A47" s="177">
        <v>45663</v>
      </c>
      <c r="B47" s="178" t="s">
        <v>58</v>
      </c>
      <c r="C47" s="174">
        <v>14.79</v>
      </c>
      <c r="D47" s="175"/>
      <c r="E47" s="171">
        <f t="shared" si="0"/>
        <v>45731.618499999997</v>
      </c>
      <c r="F47" s="161" t="s">
        <v>30</v>
      </c>
      <c r="G47" s="179"/>
      <c r="H47" s="180" t="s">
        <v>144</v>
      </c>
      <c r="I47" s="113" t="s">
        <v>166</v>
      </c>
      <c r="J47"/>
      <c r="O47" s="116"/>
    </row>
    <row r="48" spans="1:15" s="2" customFormat="1" ht="27" customHeight="1">
      <c r="A48" s="177">
        <v>45670</v>
      </c>
      <c r="B48" s="178" t="s">
        <v>55</v>
      </c>
      <c r="C48" s="174">
        <v>6290</v>
      </c>
      <c r="D48" s="175"/>
      <c r="E48" s="171">
        <f t="shared" si="0"/>
        <v>39441.618499999997</v>
      </c>
      <c r="F48" s="161" t="s">
        <v>48</v>
      </c>
      <c r="G48" s="179" t="s">
        <v>39</v>
      </c>
      <c r="H48" s="180" t="s">
        <v>144</v>
      </c>
      <c r="I48" s="113" t="s">
        <v>159</v>
      </c>
      <c r="J48"/>
      <c r="O48" s="116"/>
    </row>
    <row r="49" spans="1:15" s="2" customFormat="1" ht="27" customHeight="1">
      <c r="A49" s="177">
        <v>45670</v>
      </c>
      <c r="B49" s="178" t="s">
        <v>58</v>
      </c>
      <c r="C49" s="174">
        <v>14.77</v>
      </c>
      <c r="D49" s="175"/>
      <c r="E49" s="171">
        <f t="shared" si="0"/>
        <v>39426.8485</v>
      </c>
      <c r="F49" s="161" t="s">
        <v>30</v>
      </c>
      <c r="G49" s="179"/>
      <c r="H49" s="180" t="s">
        <v>144</v>
      </c>
      <c r="I49" s="113" t="s">
        <v>166</v>
      </c>
      <c r="J49"/>
      <c r="O49" s="116"/>
    </row>
    <row r="50" spans="1:15" s="2" customFormat="1" ht="27" customHeight="1">
      <c r="A50" s="177">
        <v>45677</v>
      </c>
      <c r="B50" s="178" t="s">
        <v>55</v>
      </c>
      <c r="C50" s="174">
        <v>19567.400000000001</v>
      </c>
      <c r="D50" s="175"/>
      <c r="E50" s="171">
        <f t="shared" si="0"/>
        <v>19859.448499999999</v>
      </c>
      <c r="F50" s="161" t="s">
        <v>56</v>
      </c>
      <c r="G50" s="179" t="s">
        <v>43</v>
      </c>
      <c r="H50" s="180" t="s">
        <v>144</v>
      </c>
      <c r="I50" s="127" t="s">
        <v>159</v>
      </c>
      <c r="J50"/>
      <c r="O50" s="116"/>
    </row>
    <row r="51" spans="1:15" s="2" customFormat="1" ht="27" customHeight="1">
      <c r="A51" s="177">
        <v>45677</v>
      </c>
      <c r="B51" s="178" t="s">
        <v>58</v>
      </c>
      <c r="C51" s="174">
        <v>7.06</v>
      </c>
      <c r="D51" s="175"/>
      <c r="E51" s="171">
        <f t="shared" si="0"/>
        <v>19852.388499999997</v>
      </c>
      <c r="F51" s="161" t="s">
        <v>30</v>
      </c>
      <c r="G51" s="179"/>
      <c r="H51" s="180" t="s">
        <v>144</v>
      </c>
      <c r="I51" s="113" t="s">
        <v>166</v>
      </c>
      <c r="J51"/>
      <c r="O51" s="116"/>
    </row>
    <row r="52" spans="1:15" s="2" customFormat="1" ht="27" customHeight="1">
      <c r="A52" s="177">
        <v>45680</v>
      </c>
      <c r="B52" s="178" t="s">
        <v>55</v>
      </c>
      <c r="C52" s="174">
        <v>18525</v>
      </c>
      <c r="D52" s="175"/>
      <c r="E52" s="171">
        <f t="shared" si="0"/>
        <v>1327.3884999999973</v>
      </c>
      <c r="F52" s="161" t="s">
        <v>46</v>
      </c>
      <c r="G52" s="179" t="s">
        <v>41</v>
      </c>
      <c r="H52" s="180" t="s">
        <v>145</v>
      </c>
      <c r="I52" s="127" t="s">
        <v>159</v>
      </c>
      <c r="J52"/>
      <c r="O52" s="116"/>
    </row>
    <row r="53" spans="1:15" s="2" customFormat="1" ht="27" customHeight="1">
      <c r="A53" s="177">
        <v>45680</v>
      </c>
      <c r="B53" s="178" t="s">
        <v>58</v>
      </c>
      <c r="C53" s="174">
        <v>14.76</v>
      </c>
      <c r="D53" s="175"/>
      <c r="E53" s="171">
        <f t="shared" si="0"/>
        <v>1312.6284999999973</v>
      </c>
      <c r="F53" s="161" t="s">
        <v>30</v>
      </c>
      <c r="G53" s="179"/>
      <c r="H53" s="180" t="s">
        <v>145</v>
      </c>
      <c r="I53" s="127" t="s">
        <v>166</v>
      </c>
      <c r="J53"/>
      <c r="O53" s="116"/>
    </row>
    <row r="54" spans="1:15" s="2" customFormat="1" ht="27" customHeight="1">
      <c r="A54" s="177">
        <v>45680</v>
      </c>
      <c r="B54" s="178" t="s">
        <v>6</v>
      </c>
      <c r="C54" s="174"/>
      <c r="D54" s="175">
        <v>10000</v>
      </c>
      <c r="E54" s="171">
        <f t="shared" si="0"/>
        <v>11312.628499999997</v>
      </c>
      <c r="F54" s="161" t="s">
        <v>28</v>
      </c>
      <c r="G54" s="179"/>
      <c r="H54" s="180" t="s">
        <v>158</v>
      </c>
      <c r="I54" s="113"/>
      <c r="J54"/>
      <c r="O54" s="116"/>
    </row>
    <row r="55" spans="1:15" s="2" customFormat="1" ht="27" customHeight="1">
      <c r="A55" s="177">
        <v>45680</v>
      </c>
      <c r="B55" s="163" t="s">
        <v>7</v>
      </c>
      <c r="C55" s="174">
        <v>300</v>
      </c>
      <c r="D55" s="175"/>
      <c r="E55" s="171">
        <f t="shared" si="0"/>
        <v>11012.628499999997</v>
      </c>
      <c r="F55" s="212" t="s">
        <v>15</v>
      </c>
      <c r="G55" s="179"/>
      <c r="H55" s="180" t="s">
        <v>158</v>
      </c>
      <c r="I55" s="113" t="s">
        <v>166</v>
      </c>
      <c r="J55"/>
      <c r="O55" s="116"/>
    </row>
    <row r="56" spans="1:15" s="2" customFormat="1" ht="27" customHeight="1">
      <c r="A56" s="177">
        <v>45684</v>
      </c>
      <c r="B56" s="178" t="s">
        <v>44</v>
      </c>
      <c r="C56" s="174">
        <v>8613</v>
      </c>
      <c r="D56" s="175"/>
      <c r="E56" s="171">
        <f t="shared" si="0"/>
        <v>2399.6284999999971</v>
      </c>
      <c r="F56" s="213" t="s">
        <v>57</v>
      </c>
      <c r="G56" s="179" t="s">
        <v>37</v>
      </c>
      <c r="H56" s="180" t="s">
        <v>145</v>
      </c>
      <c r="I56" s="127" t="s">
        <v>159</v>
      </c>
      <c r="J56"/>
      <c r="O56" s="116"/>
    </row>
    <row r="57" spans="1:15" s="2" customFormat="1" ht="27" customHeight="1">
      <c r="A57" s="177">
        <v>45684</v>
      </c>
      <c r="B57" s="178" t="s">
        <v>58</v>
      </c>
      <c r="C57" s="174">
        <v>14.77</v>
      </c>
      <c r="D57" s="175"/>
      <c r="E57" s="171">
        <f t="shared" si="0"/>
        <v>2384.8584999999971</v>
      </c>
      <c r="F57" s="213" t="s">
        <v>30</v>
      </c>
      <c r="G57" s="179"/>
      <c r="H57" s="180" t="s">
        <v>145</v>
      </c>
      <c r="I57" s="127" t="s">
        <v>166</v>
      </c>
      <c r="J57"/>
      <c r="O57" s="116"/>
    </row>
    <row r="58" spans="1:15" s="2" customFormat="1" ht="27" customHeight="1">
      <c r="A58" s="177">
        <v>45706</v>
      </c>
      <c r="B58" s="178" t="s">
        <v>59</v>
      </c>
      <c r="C58" s="174">
        <v>498.5</v>
      </c>
      <c r="D58" s="175"/>
      <c r="E58" s="171">
        <f t="shared" si="0"/>
        <v>1886.3584999999971</v>
      </c>
      <c r="F58" s="213" t="s">
        <v>60</v>
      </c>
      <c r="G58" s="179" t="s">
        <v>63</v>
      </c>
      <c r="H58" s="180" t="s">
        <v>144</v>
      </c>
      <c r="I58" s="113" t="s">
        <v>159</v>
      </c>
      <c r="J58"/>
      <c r="O58" s="116"/>
    </row>
    <row r="59" spans="1:15" s="2" customFormat="1" ht="27" customHeight="1">
      <c r="A59" s="177">
        <v>45706</v>
      </c>
      <c r="B59" s="178" t="s">
        <v>58</v>
      </c>
      <c r="C59" s="174">
        <v>14.78</v>
      </c>
      <c r="D59" s="175"/>
      <c r="E59" s="171">
        <f t="shared" si="0"/>
        <v>1871.5784999999971</v>
      </c>
      <c r="F59" s="213" t="s">
        <v>30</v>
      </c>
      <c r="G59" s="179"/>
      <c r="H59" s="180" t="s">
        <v>144</v>
      </c>
      <c r="I59" s="113" t="s">
        <v>166</v>
      </c>
      <c r="J59"/>
      <c r="O59" s="116"/>
    </row>
    <row r="60" spans="1:15" s="2" customFormat="1" ht="27" customHeight="1">
      <c r="A60" s="177">
        <v>45707</v>
      </c>
      <c r="B60" s="178" t="s">
        <v>61</v>
      </c>
      <c r="C60" s="174">
        <v>74.8</v>
      </c>
      <c r="D60" s="175"/>
      <c r="E60" s="171">
        <f t="shared" si="0"/>
        <v>1796.7784999999972</v>
      </c>
      <c r="F60" s="213" t="s">
        <v>62</v>
      </c>
      <c r="G60" s="179" t="s">
        <v>63</v>
      </c>
      <c r="H60" s="180" t="s">
        <v>144</v>
      </c>
      <c r="I60" s="113" t="s">
        <v>159</v>
      </c>
      <c r="J60"/>
      <c r="O60" s="116"/>
    </row>
    <row r="61" spans="1:15" s="2" customFormat="1" ht="27" customHeight="1">
      <c r="A61" s="177">
        <v>45707</v>
      </c>
      <c r="B61" s="178" t="s">
        <v>58</v>
      </c>
      <c r="C61" s="174">
        <v>14.79</v>
      </c>
      <c r="D61" s="175"/>
      <c r="E61" s="171">
        <f t="shared" si="0"/>
        <v>1781.9884999999972</v>
      </c>
      <c r="F61" s="213" t="s">
        <v>30</v>
      </c>
      <c r="G61" s="179"/>
      <c r="H61" s="180" t="s">
        <v>144</v>
      </c>
      <c r="I61" s="113" t="s">
        <v>166</v>
      </c>
      <c r="J61"/>
      <c r="O61" s="116"/>
    </row>
    <row r="62" spans="1:15" s="2" customFormat="1" ht="27" customHeight="1">
      <c r="A62" s="177">
        <v>45714</v>
      </c>
      <c r="B62" s="178" t="s">
        <v>6</v>
      </c>
      <c r="C62" s="174"/>
      <c r="D62" s="175">
        <v>12000</v>
      </c>
      <c r="E62" s="171">
        <f t="shared" si="0"/>
        <v>13781.988499999998</v>
      </c>
      <c r="F62" s="161" t="s">
        <v>28</v>
      </c>
      <c r="G62" s="179"/>
      <c r="H62" s="180" t="s">
        <v>158</v>
      </c>
      <c r="I62" s="113"/>
      <c r="J62"/>
      <c r="O62" s="116"/>
    </row>
    <row r="63" spans="1:15" s="2" customFormat="1" ht="27" customHeight="1">
      <c r="A63" s="177">
        <v>45714</v>
      </c>
      <c r="B63" s="163" t="s">
        <v>7</v>
      </c>
      <c r="C63" s="174">
        <f>+D62*0.03</f>
        <v>360</v>
      </c>
      <c r="D63" s="175"/>
      <c r="E63" s="171">
        <f t="shared" si="0"/>
        <v>13421.988499999998</v>
      </c>
      <c r="F63" s="212" t="s">
        <v>15</v>
      </c>
      <c r="G63" s="179"/>
      <c r="H63" s="180" t="s">
        <v>158</v>
      </c>
      <c r="I63" s="113" t="s">
        <v>166</v>
      </c>
      <c r="J63"/>
      <c r="O63" s="116"/>
    </row>
    <row r="64" spans="1:15" s="2" customFormat="1" ht="27" customHeight="1">
      <c r="A64" s="177">
        <v>45716</v>
      </c>
      <c r="B64" s="178" t="s">
        <v>55</v>
      </c>
      <c r="C64" s="174">
        <v>12113.36</v>
      </c>
      <c r="D64" s="175"/>
      <c r="E64" s="171">
        <f t="shared" si="0"/>
        <v>1308.6284999999971</v>
      </c>
      <c r="F64" s="213" t="s">
        <v>45</v>
      </c>
      <c r="G64" s="179" t="s">
        <v>35</v>
      </c>
      <c r="H64" s="180" t="s">
        <v>145</v>
      </c>
      <c r="I64" s="127" t="s">
        <v>159</v>
      </c>
      <c r="J64"/>
      <c r="O64" s="116"/>
    </row>
    <row r="65" spans="1:15" s="2" customFormat="1" ht="27" customHeight="1">
      <c r="A65" s="177">
        <v>45716</v>
      </c>
      <c r="B65" s="178" t="s">
        <v>58</v>
      </c>
      <c r="C65" s="174">
        <f>12128.15-C64</f>
        <v>14.789999999999054</v>
      </c>
      <c r="D65" s="175"/>
      <c r="E65" s="171">
        <f t="shared" si="0"/>
        <v>1293.838499999998</v>
      </c>
      <c r="F65" s="213" t="s">
        <v>30</v>
      </c>
      <c r="G65" s="179"/>
      <c r="H65" s="180" t="s">
        <v>145</v>
      </c>
      <c r="I65" s="113" t="s">
        <v>166</v>
      </c>
      <c r="J65"/>
      <c r="O65" s="116"/>
    </row>
    <row r="66" spans="1:15" s="2" customFormat="1" ht="27" customHeight="1">
      <c r="A66" s="177">
        <v>45728</v>
      </c>
      <c r="B66" s="178" t="s">
        <v>74</v>
      </c>
      <c r="C66" s="174"/>
      <c r="D66" s="183">
        <v>848.62</v>
      </c>
      <c r="E66" s="171">
        <f t="shared" si="0"/>
        <v>2142.4584999999979</v>
      </c>
      <c r="F66" s="161" t="s">
        <v>75</v>
      </c>
      <c r="G66" s="179" t="s">
        <v>43</v>
      </c>
      <c r="H66" s="180" t="s">
        <v>144</v>
      </c>
      <c r="I66" s="113" t="s">
        <v>159</v>
      </c>
      <c r="J66"/>
      <c r="O66" s="116"/>
    </row>
    <row r="67" spans="1:15" s="2" customFormat="1" ht="27" customHeight="1">
      <c r="A67" s="177">
        <v>45728</v>
      </c>
      <c r="B67" s="178" t="s">
        <v>51</v>
      </c>
      <c r="C67" s="184">
        <f>+D66*0.05</f>
        <v>42.431000000000004</v>
      </c>
      <c r="D67" s="175"/>
      <c r="E67" s="171">
        <f t="shared" si="0"/>
        <v>2100.0274999999979</v>
      </c>
      <c r="F67" s="213" t="s">
        <v>67</v>
      </c>
      <c r="G67" s="179"/>
      <c r="H67" s="180" t="s">
        <v>144</v>
      </c>
      <c r="I67" s="113" t="s">
        <v>166</v>
      </c>
      <c r="J67"/>
      <c r="O67" s="116"/>
    </row>
    <row r="68" spans="1:15" s="2" customFormat="1" ht="27" customHeight="1">
      <c r="A68" s="177">
        <v>45754</v>
      </c>
      <c r="B68" s="178" t="s">
        <v>64</v>
      </c>
      <c r="C68" s="174"/>
      <c r="D68" s="185">
        <v>9423.6200000000008</v>
      </c>
      <c r="E68" s="171">
        <f t="shared" si="0"/>
        <v>11523.647499999999</v>
      </c>
      <c r="F68" s="161" t="s">
        <v>65</v>
      </c>
      <c r="G68" s="179" t="s">
        <v>36</v>
      </c>
      <c r="H68" s="180" t="s">
        <v>145</v>
      </c>
      <c r="I68" s="127" t="s">
        <v>159</v>
      </c>
      <c r="J68"/>
      <c r="O68" s="116"/>
    </row>
    <row r="69" spans="1:15" s="2" customFormat="1" ht="27" customHeight="1">
      <c r="A69" s="177">
        <v>45756</v>
      </c>
      <c r="B69" s="178" t="s">
        <v>51</v>
      </c>
      <c r="C69" s="174">
        <f>+D68*0.05</f>
        <v>471.18100000000004</v>
      </c>
      <c r="D69" s="175"/>
      <c r="E69" s="171">
        <f t="shared" si="0"/>
        <v>11052.466499999999</v>
      </c>
      <c r="F69" s="213" t="s">
        <v>68</v>
      </c>
      <c r="G69" s="186"/>
      <c r="H69" s="187" t="s">
        <v>145</v>
      </c>
      <c r="I69" s="127" t="s">
        <v>166</v>
      </c>
      <c r="J69"/>
      <c r="O69" s="116"/>
    </row>
    <row r="70" spans="1:15" s="2" customFormat="1" ht="27" customHeight="1">
      <c r="A70" s="177">
        <v>45761</v>
      </c>
      <c r="B70" s="178" t="s">
        <v>50</v>
      </c>
      <c r="C70" s="174">
        <v>7600</v>
      </c>
      <c r="D70" s="175"/>
      <c r="E70" s="171">
        <f t="shared" si="0"/>
        <v>3452.4664999999986</v>
      </c>
      <c r="F70" s="213" t="s">
        <v>70</v>
      </c>
      <c r="G70" s="179" t="s">
        <v>43</v>
      </c>
      <c r="H70" s="187" t="s">
        <v>144</v>
      </c>
      <c r="I70" s="113" t="s">
        <v>159</v>
      </c>
      <c r="J70"/>
      <c r="O70" s="116"/>
    </row>
    <row r="71" spans="1:15" s="2" customFormat="1" ht="27" customHeight="1">
      <c r="A71" s="177">
        <v>45761</v>
      </c>
      <c r="B71" s="178" t="s">
        <v>58</v>
      </c>
      <c r="C71" s="174">
        <v>7.09</v>
      </c>
      <c r="D71" s="175"/>
      <c r="E71" s="171">
        <f t="shared" si="0"/>
        <v>3445.3764999999985</v>
      </c>
      <c r="F71" s="213" t="s">
        <v>30</v>
      </c>
      <c r="G71" s="179"/>
      <c r="H71" s="187" t="s">
        <v>144</v>
      </c>
      <c r="I71" s="113" t="s">
        <v>166</v>
      </c>
      <c r="J71"/>
      <c r="O71" s="116"/>
    </row>
    <row r="72" spans="1:15" s="2" customFormat="1" ht="27" customHeight="1">
      <c r="A72" s="177">
        <v>45783</v>
      </c>
      <c r="B72" s="178" t="s">
        <v>73</v>
      </c>
      <c r="C72" s="174"/>
      <c r="D72" s="183">
        <v>26452.799999999999</v>
      </c>
      <c r="E72" s="171">
        <f t="shared" si="0"/>
        <v>29898.176499999998</v>
      </c>
      <c r="F72" s="161" t="s">
        <v>72</v>
      </c>
      <c r="G72" s="186" t="s">
        <v>41</v>
      </c>
      <c r="H72" s="187" t="s">
        <v>145</v>
      </c>
      <c r="I72" s="127" t="s">
        <v>159</v>
      </c>
      <c r="J72"/>
      <c r="O72" s="116"/>
    </row>
    <row r="73" spans="1:15" s="2" customFormat="1" ht="27" customHeight="1">
      <c r="A73" s="177">
        <v>45783</v>
      </c>
      <c r="B73" s="178" t="s">
        <v>51</v>
      </c>
      <c r="C73" s="184">
        <f>+D72*0.05</f>
        <v>1322.64</v>
      </c>
      <c r="D73" s="175"/>
      <c r="E73" s="171">
        <f t="shared" si="0"/>
        <v>28575.536499999998</v>
      </c>
      <c r="F73" s="213" t="s">
        <v>76</v>
      </c>
      <c r="G73" s="186"/>
      <c r="H73" s="187" t="s">
        <v>145</v>
      </c>
      <c r="I73" s="127" t="s">
        <v>166</v>
      </c>
      <c r="J73"/>
      <c r="O73" s="116"/>
    </row>
    <row r="74" spans="1:15" s="2" customFormat="1" ht="27" customHeight="1">
      <c r="A74" s="177">
        <v>45784</v>
      </c>
      <c r="B74" s="178" t="s">
        <v>55</v>
      </c>
      <c r="C74" s="174">
        <f>14636.96</f>
        <v>14636.96</v>
      </c>
      <c r="D74" s="175"/>
      <c r="E74" s="171">
        <f t="shared" ref="E74:E151" si="1">+E73+D74-C74</f>
        <v>13938.576499999999</v>
      </c>
      <c r="F74" s="213" t="s">
        <v>69</v>
      </c>
      <c r="G74" s="186"/>
      <c r="H74" s="187" t="s">
        <v>144</v>
      </c>
      <c r="I74" s="127" t="s">
        <v>159</v>
      </c>
      <c r="J74"/>
      <c r="O74" s="116"/>
    </row>
    <row r="75" spans="1:15" s="2" customFormat="1" ht="27" customHeight="1">
      <c r="A75" s="177">
        <v>45784</v>
      </c>
      <c r="B75" s="178" t="s">
        <v>58</v>
      </c>
      <c r="C75" s="174">
        <v>14.84</v>
      </c>
      <c r="D75" s="175"/>
      <c r="E75" s="171">
        <f t="shared" si="1"/>
        <v>13923.736499999999</v>
      </c>
      <c r="F75" s="213" t="s">
        <v>30</v>
      </c>
      <c r="G75" s="179"/>
      <c r="H75" s="187" t="s">
        <v>144</v>
      </c>
      <c r="I75" s="113" t="s">
        <v>166</v>
      </c>
      <c r="J75"/>
      <c r="O75" s="116"/>
    </row>
    <row r="76" spans="1:15" s="2" customFormat="1" ht="27" customHeight="1">
      <c r="A76" s="177">
        <v>45791</v>
      </c>
      <c r="B76" s="178" t="s">
        <v>55</v>
      </c>
      <c r="C76" s="174">
        <v>7300</v>
      </c>
      <c r="D76" s="175"/>
      <c r="E76" s="171">
        <f t="shared" si="1"/>
        <v>6623.7364999999991</v>
      </c>
      <c r="F76" s="213" t="s">
        <v>77</v>
      </c>
      <c r="G76" s="186"/>
      <c r="H76" s="187" t="s">
        <v>145</v>
      </c>
      <c r="I76" s="127" t="s">
        <v>159</v>
      </c>
      <c r="J76"/>
      <c r="O76" s="116"/>
    </row>
    <row r="77" spans="1:15" s="2" customFormat="1" ht="27" customHeight="1">
      <c r="A77" s="177">
        <v>45791</v>
      </c>
      <c r="B77" s="178" t="s">
        <v>58</v>
      </c>
      <c r="C77" s="174">
        <v>14.75</v>
      </c>
      <c r="D77" s="175"/>
      <c r="E77" s="171">
        <f t="shared" si="1"/>
        <v>6608.9864999999991</v>
      </c>
      <c r="F77" s="213" t="s">
        <v>30</v>
      </c>
      <c r="G77" s="179"/>
      <c r="H77" s="187" t="s">
        <v>145</v>
      </c>
      <c r="I77" s="113" t="s">
        <v>166</v>
      </c>
      <c r="J77"/>
      <c r="O77" s="116"/>
    </row>
    <row r="78" spans="1:15" s="2" customFormat="1" ht="27" customHeight="1">
      <c r="A78" s="177">
        <v>45803</v>
      </c>
      <c r="B78" s="178" t="s">
        <v>81</v>
      </c>
      <c r="C78" s="174"/>
      <c r="D78" s="183">
        <f>17213.06+0.08</f>
        <v>17213.140000000003</v>
      </c>
      <c r="E78" s="171">
        <f t="shared" si="1"/>
        <v>23822.126500000002</v>
      </c>
      <c r="F78" s="161" t="s">
        <v>83</v>
      </c>
      <c r="G78" s="179" t="s">
        <v>35</v>
      </c>
      <c r="H78" s="187" t="s">
        <v>145</v>
      </c>
      <c r="I78" s="113" t="s">
        <v>159</v>
      </c>
      <c r="J78"/>
      <c r="O78" s="116"/>
    </row>
    <row r="79" spans="1:15" s="2" customFormat="1" ht="27" customHeight="1">
      <c r="A79" s="177"/>
      <c r="B79" s="178" t="s">
        <v>51</v>
      </c>
      <c r="C79" s="184">
        <f>+D78*0.05</f>
        <v>860.65700000000015</v>
      </c>
      <c r="D79" s="185"/>
      <c r="E79" s="171">
        <f t="shared" si="1"/>
        <v>22961.469500000003</v>
      </c>
      <c r="F79" s="213" t="s">
        <v>85</v>
      </c>
      <c r="G79" s="179"/>
      <c r="H79" s="187" t="s">
        <v>145</v>
      </c>
      <c r="I79" s="113" t="s">
        <v>166</v>
      </c>
      <c r="J79"/>
      <c r="O79" s="116"/>
    </row>
    <row r="80" spans="1:15" ht="27" customHeight="1">
      <c r="A80" s="162">
        <v>45810</v>
      </c>
      <c r="B80" s="163" t="s">
        <v>55</v>
      </c>
      <c r="C80" s="169">
        <v>16469.2</v>
      </c>
      <c r="D80" s="170"/>
      <c r="E80" s="171">
        <f t="shared" si="1"/>
        <v>6492.2695000000022</v>
      </c>
      <c r="F80" s="212" t="s">
        <v>56</v>
      </c>
      <c r="G80" s="173" t="s">
        <v>43</v>
      </c>
      <c r="H80" s="188" t="s">
        <v>144</v>
      </c>
      <c r="I80" s="127" t="s">
        <v>159</v>
      </c>
      <c r="J80"/>
      <c r="K80" s="2"/>
      <c r="L80" s="2"/>
      <c r="M80" s="2"/>
      <c r="N80" s="2"/>
    </row>
    <row r="81" spans="1:15" ht="27" customHeight="1">
      <c r="A81" s="162">
        <v>45810</v>
      </c>
      <c r="B81" s="163" t="s">
        <v>55</v>
      </c>
      <c r="C81" s="169">
        <v>470</v>
      </c>
      <c r="D81" s="170"/>
      <c r="E81" s="171">
        <f t="shared" si="1"/>
        <v>6022.2695000000022</v>
      </c>
      <c r="F81" s="212" t="s">
        <v>82</v>
      </c>
      <c r="G81" s="173" t="s">
        <v>43</v>
      </c>
      <c r="H81" s="188" t="s">
        <v>144</v>
      </c>
      <c r="I81" s="127" t="s">
        <v>159</v>
      </c>
      <c r="J81"/>
    </row>
    <row r="82" spans="1:15" s="2" customFormat="1" ht="27" customHeight="1">
      <c r="A82" s="177">
        <v>45810</v>
      </c>
      <c r="B82" s="178" t="s">
        <v>58</v>
      </c>
      <c r="C82" s="174">
        <f>7.09</f>
        <v>7.09</v>
      </c>
      <c r="D82" s="175"/>
      <c r="E82" s="171">
        <f t="shared" si="1"/>
        <v>6015.179500000002</v>
      </c>
      <c r="F82" s="213" t="s">
        <v>30</v>
      </c>
      <c r="G82" s="179" t="s">
        <v>43</v>
      </c>
      <c r="H82" s="187" t="s">
        <v>144</v>
      </c>
      <c r="I82" s="113" t="s">
        <v>166</v>
      </c>
      <c r="J82"/>
      <c r="K82" s="3"/>
      <c r="L82" s="3"/>
      <c r="M82" s="3"/>
      <c r="N82" s="3"/>
      <c r="O82" s="116"/>
    </row>
    <row r="83" spans="1:15" ht="27" customHeight="1">
      <c r="A83" s="162">
        <v>45838</v>
      </c>
      <c r="B83" s="163" t="s">
        <v>71</v>
      </c>
      <c r="C83" s="169"/>
      <c r="D83" s="171">
        <v>17507.759999999998</v>
      </c>
      <c r="E83" s="171">
        <f t="shared" si="1"/>
        <v>23522.9395</v>
      </c>
      <c r="F83" s="161" t="s">
        <v>84</v>
      </c>
      <c r="G83" s="173" t="s">
        <v>37</v>
      </c>
      <c r="H83" s="188" t="s">
        <v>145</v>
      </c>
      <c r="I83" s="130" t="s">
        <v>159</v>
      </c>
      <c r="J83"/>
      <c r="K83" s="2"/>
      <c r="L83" s="2"/>
      <c r="M83" s="2"/>
      <c r="N83" s="2"/>
    </row>
    <row r="84" spans="1:15" ht="27" customHeight="1">
      <c r="A84" s="162">
        <v>45838</v>
      </c>
      <c r="B84" s="163" t="s">
        <v>58</v>
      </c>
      <c r="C84" s="169">
        <v>14.29</v>
      </c>
      <c r="D84" s="171"/>
      <c r="E84" s="171">
        <f t="shared" si="1"/>
        <v>23508.6495</v>
      </c>
      <c r="F84" s="161" t="s">
        <v>30</v>
      </c>
      <c r="G84" s="173" t="s">
        <v>37</v>
      </c>
      <c r="H84" s="188" t="s">
        <v>145</v>
      </c>
      <c r="I84" s="130" t="s">
        <v>166</v>
      </c>
      <c r="J84"/>
    </row>
    <row r="85" spans="1:15" ht="27" customHeight="1">
      <c r="A85" s="162">
        <v>45838</v>
      </c>
      <c r="B85" s="178" t="s">
        <v>51</v>
      </c>
      <c r="C85" s="169">
        <f>+(D83-C84)*5%</f>
        <v>874.67349999999988</v>
      </c>
      <c r="D85" s="170"/>
      <c r="E85" s="171">
        <f t="shared" si="1"/>
        <v>22633.975999999999</v>
      </c>
      <c r="F85" s="213" t="s">
        <v>86</v>
      </c>
      <c r="G85" s="173" t="s">
        <v>37</v>
      </c>
      <c r="H85" s="188" t="s">
        <v>145</v>
      </c>
      <c r="I85" s="34" t="s">
        <v>166</v>
      </c>
      <c r="J85"/>
    </row>
    <row r="86" spans="1:15" ht="27" customHeight="1">
      <c r="A86" s="162">
        <v>45841</v>
      </c>
      <c r="B86" s="178" t="s">
        <v>55</v>
      </c>
      <c r="C86" s="169">
        <v>20148.36</v>
      </c>
      <c r="D86" s="170"/>
      <c r="E86" s="171">
        <f t="shared" si="1"/>
        <v>2485.6159999999982</v>
      </c>
      <c r="F86" s="213" t="s">
        <v>87</v>
      </c>
      <c r="G86" s="173" t="s">
        <v>37</v>
      </c>
      <c r="H86" s="188" t="s">
        <v>145</v>
      </c>
      <c r="I86" s="127" t="s">
        <v>159</v>
      </c>
      <c r="J86"/>
    </row>
    <row r="87" spans="1:15" ht="27" customHeight="1">
      <c r="A87" s="162">
        <v>45841</v>
      </c>
      <c r="B87" s="178" t="s">
        <v>58</v>
      </c>
      <c r="C87" s="169">
        <v>14.64</v>
      </c>
      <c r="D87" s="170"/>
      <c r="E87" s="171">
        <f t="shared" si="1"/>
        <v>2470.9759999999983</v>
      </c>
      <c r="F87" s="213" t="s">
        <v>30</v>
      </c>
      <c r="G87" s="173" t="s">
        <v>37</v>
      </c>
      <c r="H87" s="188" t="s">
        <v>145</v>
      </c>
      <c r="I87" s="34" t="s">
        <v>166</v>
      </c>
      <c r="J87"/>
    </row>
    <row r="88" spans="1:15" ht="27" customHeight="1">
      <c r="A88" s="162">
        <v>45852</v>
      </c>
      <c r="B88" s="163" t="s">
        <v>50</v>
      </c>
      <c r="C88" s="189">
        <v>2407</v>
      </c>
      <c r="D88" s="170"/>
      <c r="E88" s="171">
        <f t="shared" si="1"/>
        <v>63.975999999998294</v>
      </c>
      <c r="F88" s="212" t="s">
        <v>139</v>
      </c>
      <c r="G88" s="173" t="s">
        <v>38</v>
      </c>
      <c r="H88" s="188" t="s">
        <v>144</v>
      </c>
      <c r="I88" s="34" t="s">
        <v>159</v>
      </c>
      <c r="J88"/>
    </row>
    <row r="89" spans="1:15" ht="27" customHeight="1">
      <c r="A89" s="190">
        <v>45852</v>
      </c>
      <c r="B89" s="172" t="s">
        <v>74</v>
      </c>
      <c r="C89" s="171"/>
      <c r="D89" s="191">
        <v>26553.11</v>
      </c>
      <c r="E89" s="171">
        <f t="shared" si="1"/>
        <v>26617.085999999999</v>
      </c>
      <c r="F89" s="161" t="s">
        <v>94</v>
      </c>
      <c r="G89" s="173" t="s">
        <v>43</v>
      </c>
      <c r="H89" s="188" t="s">
        <v>144</v>
      </c>
      <c r="I89" s="34" t="s">
        <v>159</v>
      </c>
      <c r="J89"/>
    </row>
    <row r="90" spans="1:15" ht="27" customHeight="1">
      <c r="A90" s="190">
        <v>45852</v>
      </c>
      <c r="B90" s="172" t="s">
        <v>51</v>
      </c>
      <c r="C90" s="171">
        <f>+D89*0.05</f>
        <v>1327.6555000000001</v>
      </c>
      <c r="D90" s="170"/>
      <c r="E90" s="171">
        <f t="shared" si="1"/>
        <v>25289.430499999999</v>
      </c>
      <c r="F90" s="212" t="s">
        <v>23</v>
      </c>
      <c r="G90" s="173"/>
      <c r="H90" s="188" t="s">
        <v>144</v>
      </c>
      <c r="I90" s="34" t="s">
        <v>166</v>
      </c>
      <c r="J90"/>
      <c r="L90" s="20"/>
      <c r="M90" s="20"/>
    </row>
    <row r="91" spans="1:15" ht="27" customHeight="1">
      <c r="A91" s="190">
        <v>45852</v>
      </c>
      <c r="B91" s="172" t="s">
        <v>78</v>
      </c>
      <c r="C91" s="171"/>
      <c r="D91" s="171">
        <v>9290.66</v>
      </c>
      <c r="E91" s="171">
        <f t="shared" si="1"/>
        <v>34580.090499999998</v>
      </c>
      <c r="F91" s="161" t="s">
        <v>95</v>
      </c>
      <c r="G91" s="173" t="s">
        <v>39</v>
      </c>
      <c r="H91" s="188" t="s">
        <v>144</v>
      </c>
      <c r="I91" s="34" t="s">
        <v>159</v>
      </c>
      <c r="J91"/>
      <c r="L91" s="85"/>
      <c r="M91" s="85"/>
    </row>
    <row r="92" spans="1:15" ht="27" customHeight="1">
      <c r="A92" s="190">
        <v>45852</v>
      </c>
      <c r="B92" s="172" t="s">
        <v>58</v>
      </c>
      <c r="C92" s="171">
        <v>8.2899999999999991</v>
      </c>
      <c r="D92" s="171"/>
      <c r="E92" s="171">
        <f t="shared" si="1"/>
        <v>34571.800499999998</v>
      </c>
      <c r="F92" s="161" t="s">
        <v>30</v>
      </c>
      <c r="G92" s="173" t="s">
        <v>39</v>
      </c>
      <c r="H92" s="188" t="s">
        <v>144</v>
      </c>
      <c r="I92" s="34" t="s">
        <v>166</v>
      </c>
      <c r="J92"/>
      <c r="L92" s="20"/>
      <c r="M92" s="20"/>
    </row>
    <row r="93" spans="1:15" ht="27" customHeight="1">
      <c r="A93" s="190">
        <v>45852</v>
      </c>
      <c r="B93" s="172" t="s">
        <v>51</v>
      </c>
      <c r="C93" s="171">
        <f>+(D91-C92)*0.05</f>
        <v>464.11849999999998</v>
      </c>
      <c r="D93" s="170"/>
      <c r="E93" s="171">
        <f t="shared" si="1"/>
        <v>34107.682000000001</v>
      </c>
      <c r="F93" s="212" t="s">
        <v>89</v>
      </c>
      <c r="G93" s="173"/>
      <c r="H93" s="188" t="s">
        <v>144</v>
      </c>
      <c r="I93" s="34" t="s">
        <v>166</v>
      </c>
      <c r="J93"/>
      <c r="L93" s="20"/>
      <c r="M93" s="20"/>
    </row>
    <row r="94" spans="1:15" ht="27" customHeight="1">
      <c r="A94" s="190">
        <v>45852</v>
      </c>
      <c r="B94" s="172" t="s">
        <v>66</v>
      </c>
      <c r="C94" s="191"/>
      <c r="D94" s="185">
        <v>579.09</v>
      </c>
      <c r="E94" s="171">
        <f t="shared" si="1"/>
        <v>34686.771999999997</v>
      </c>
      <c r="F94" s="161" t="s">
        <v>96</v>
      </c>
      <c r="G94" s="173" t="s">
        <v>63</v>
      </c>
      <c r="H94" s="188" t="s">
        <v>144</v>
      </c>
      <c r="I94" s="34" t="s">
        <v>159</v>
      </c>
      <c r="J94"/>
      <c r="L94" s="20"/>
      <c r="M94" s="20"/>
    </row>
    <row r="95" spans="1:15" ht="27" customHeight="1">
      <c r="A95" s="190">
        <v>45852</v>
      </c>
      <c r="B95" s="172" t="s">
        <v>51</v>
      </c>
      <c r="C95" s="191">
        <f>+D94*0.05</f>
        <v>28.954500000000003</v>
      </c>
      <c r="D95" s="192"/>
      <c r="E95" s="171">
        <f t="shared" si="1"/>
        <v>34657.817499999997</v>
      </c>
      <c r="F95" s="212" t="s">
        <v>67</v>
      </c>
      <c r="G95" s="173"/>
      <c r="H95" s="188" t="s">
        <v>144</v>
      </c>
      <c r="I95" s="34" t="s">
        <v>166</v>
      </c>
      <c r="J95"/>
      <c r="L95" s="20"/>
      <c r="M95" s="20"/>
    </row>
    <row r="96" spans="1:15" ht="27" customHeight="1">
      <c r="A96" s="190">
        <v>45855</v>
      </c>
      <c r="B96" s="172" t="s">
        <v>50</v>
      </c>
      <c r="C96" s="171">
        <v>2200</v>
      </c>
      <c r="D96" s="170"/>
      <c r="E96" s="171">
        <f t="shared" si="1"/>
        <v>32457.817499999997</v>
      </c>
      <c r="F96" s="212" t="s">
        <v>113</v>
      </c>
      <c r="G96" s="173" t="s">
        <v>36</v>
      </c>
      <c r="H96" s="188" t="s">
        <v>145</v>
      </c>
      <c r="I96" s="34" t="s">
        <v>159</v>
      </c>
      <c r="J96"/>
      <c r="L96" s="20"/>
      <c r="M96" s="20"/>
    </row>
    <row r="97" spans="1:17" ht="27" customHeight="1">
      <c r="A97" s="190">
        <v>45852</v>
      </c>
      <c r="B97" s="172" t="s">
        <v>58</v>
      </c>
      <c r="C97" s="171">
        <v>7</v>
      </c>
      <c r="D97" s="171"/>
      <c r="E97" s="171">
        <f t="shared" si="1"/>
        <v>32450.817499999997</v>
      </c>
      <c r="F97" s="161" t="s">
        <v>30</v>
      </c>
      <c r="G97" s="173" t="s">
        <v>36</v>
      </c>
      <c r="H97" s="188" t="s">
        <v>145</v>
      </c>
      <c r="I97" s="34" t="s">
        <v>166</v>
      </c>
      <c r="J97"/>
      <c r="L97" s="20"/>
      <c r="M97" s="20"/>
    </row>
    <row r="98" spans="1:17" s="49" customFormat="1" ht="27" customHeight="1">
      <c r="A98" s="190">
        <v>45862</v>
      </c>
      <c r="B98" s="193"/>
      <c r="C98" s="185">
        <v>2890.6</v>
      </c>
      <c r="D98" s="193"/>
      <c r="E98" s="171">
        <f t="shared" si="1"/>
        <v>29560.217499999999</v>
      </c>
      <c r="F98" s="185" t="s">
        <v>116</v>
      </c>
      <c r="G98" s="194" t="s">
        <v>38</v>
      </c>
      <c r="H98" s="188" t="s">
        <v>144</v>
      </c>
      <c r="I98" s="34" t="s">
        <v>159</v>
      </c>
      <c r="J98"/>
      <c r="K98" s="3"/>
      <c r="L98" s="20"/>
      <c r="M98" s="20"/>
      <c r="N98" s="3"/>
      <c r="O98" s="86"/>
      <c r="P98" s="86"/>
    </row>
    <row r="99" spans="1:17" s="2" customFormat="1" ht="27" customHeight="1">
      <c r="A99" s="195">
        <v>45860</v>
      </c>
      <c r="B99" s="185" t="s">
        <v>58</v>
      </c>
      <c r="C99" s="185">
        <v>7</v>
      </c>
      <c r="D99" s="185"/>
      <c r="E99" s="171">
        <f t="shared" si="1"/>
        <v>29553.217499999999</v>
      </c>
      <c r="F99" s="185" t="s">
        <v>30</v>
      </c>
      <c r="G99" s="194" t="s">
        <v>38</v>
      </c>
      <c r="H99" s="188" t="s">
        <v>144</v>
      </c>
      <c r="I99" s="113" t="s">
        <v>166</v>
      </c>
      <c r="J99"/>
      <c r="K99" s="3"/>
      <c r="L99" s="20"/>
      <c r="M99" s="20"/>
      <c r="N99" s="49"/>
      <c r="O99" s="116"/>
      <c r="P99" s="86"/>
    </row>
    <row r="100" spans="1:17" s="2" customFormat="1" ht="27" customHeight="1">
      <c r="A100" s="195">
        <v>45887</v>
      </c>
      <c r="B100" s="176" t="s">
        <v>88</v>
      </c>
      <c r="C100" s="185"/>
      <c r="D100" s="196">
        <v>21486.959999999999</v>
      </c>
      <c r="E100" s="171">
        <f t="shared" si="1"/>
        <v>51040.177499999998</v>
      </c>
      <c r="F100" s="213"/>
      <c r="G100" s="179" t="s">
        <v>80</v>
      </c>
      <c r="H100" s="188" t="s">
        <v>144</v>
      </c>
      <c r="I100" s="113" t="s">
        <v>159</v>
      </c>
      <c r="J100"/>
      <c r="K100" s="3"/>
      <c r="L100" s="20"/>
      <c r="M100" s="20"/>
      <c r="O100" s="116"/>
    </row>
    <row r="101" spans="1:17" s="2" customFormat="1" ht="27" customHeight="1">
      <c r="A101" s="195">
        <v>45887</v>
      </c>
      <c r="B101" s="176" t="s">
        <v>58</v>
      </c>
      <c r="C101" s="185">
        <v>14.340000000000146</v>
      </c>
      <c r="D101" s="196"/>
      <c r="E101" s="171">
        <f t="shared" si="1"/>
        <v>51025.837499999994</v>
      </c>
      <c r="F101" s="213"/>
      <c r="G101" s="179" t="s">
        <v>80</v>
      </c>
      <c r="H101" s="188" t="s">
        <v>144</v>
      </c>
      <c r="I101" s="113" t="s">
        <v>166</v>
      </c>
      <c r="J101"/>
      <c r="K101" s="3"/>
      <c r="L101" s="20"/>
      <c r="M101" s="20"/>
      <c r="O101" s="116"/>
    </row>
    <row r="102" spans="1:17" ht="27" customHeight="1">
      <c r="A102" s="190">
        <v>45887</v>
      </c>
      <c r="B102" s="172" t="s">
        <v>51</v>
      </c>
      <c r="C102" s="185">
        <f>+(D100+C101)*0.05</f>
        <v>1075.0650000000001</v>
      </c>
      <c r="D102" s="192"/>
      <c r="E102" s="171">
        <f t="shared" si="1"/>
        <v>49950.772499999992</v>
      </c>
      <c r="F102" s="212" t="s">
        <v>131</v>
      </c>
      <c r="G102" s="173"/>
      <c r="H102" s="188" t="s">
        <v>144</v>
      </c>
      <c r="I102" s="34" t="s">
        <v>166</v>
      </c>
      <c r="J102"/>
      <c r="L102" s="20"/>
      <c r="M102" s="20"/>
      <c r="N102" s="2"/>
    </row>
    <row r="103" spans="1:17" ht="27" customHeight="1">
      <c r="A103" s="190">
        <v>45891</v>
      </c>
      <c r="B103" s="172" t="s">
        <v>50</v>
      </c>
      <c r="C103" s="197">
        <v>10500</v>
      </c>
      <c r="D103" s="192"/>
      <c r="E103" s="171">
        <f t="shared" si="1"/>
        <v>39450.772499999992</v>
      </c>
      <c r="F103" s="212" t="s">
        <v>137</v>
      </c>
      <c r="G103" s="173" t="s">
        <v>37</v>
      </c>
      <c r="H103" s="188" t="s">
        <v>145</v>
      </c>
      <c r="I103" s="34" t="s">
        <v>159</v>
      </c>
      <c r="J103"/>
      <c r="L103" s="20"/>
      <c r="M103" s="20"/>
    </row>
    <row r="104" spans="1:17" ht="27" customHeight="1">
      <c r="A104" s="190">
        <v>45891</v>
      </c>
      <c r="B104" s="172" t="s">
        <v>50</v>
      </c>
      <c r="C104" s="197">
        <v>10500</v>
      </c>
      <c r="D104" s="192"/>
      <c r="E104" s="171">
        <f t="shared" si="1"/>
        <v>28950.772499999992</v>
      </c>
      <c r="F104" s="212" t="s">
        <v>138</v>
      </c>
      <c r="G104" s="173" t="s">
        <v>37</v>
      </c>
      <c r="H104" s="188" t="s">
        <v>145</v>
      </c>
      <c r="I104" s="34" t="s">
        <v>159</v>
      </c>
      <c r="J104"/>
      <c r="L104" s="20"/>
      <c r="M104" s="20"/>
    </row>
    <row r="105" spans="1:17" s="2" customFormat="1" ht="27" customHeight="1">
      <c r="A105" s="195">
        <v>45891</v>
      </c>
      <c r="B105" s="176" t="s">
        <v>58</v>
      </c>
      <c r="C105" s="185">
        <v>62.05</v>
      </c>
      <c r="D105" s="196"/>
      <c r="E105" s="171">
        <f t="shared" si="1"/>
        <v>28888.722499999993</v>
      </c>
      <c r="F105" s="213" t="s">
        <v>30</v>
      </c>
      <c r="G105" s="173" t="s">
        <v>37</v>
      </c>
      <c r="H105" s="188" t="s">
        <v>145</v>
      </c>
      <c r="I105" s="113" t="s">
        <v>166</v>
      </c>
      <c r="J105"/>
      <c r="K105" s="3"/>
      <c r="L105" s="20"/>
      <c r="M105" s="20"/>
      <c r="N105" s="3"/>
      <c r="O105" s="116"/>
    </row>
    <row r="106" spans="1:17" ht="27" customHeight="1">
      <c r="A106" s="190">
        <v>45901</v>
      </c>
      <c r="B106" s="172" t="s">
        <v>115</v>
      </c>
      <c r="C106" s="185">
        <v>4739.72</v>
      </c>
      <c r="D106" s="192"/>
      <c r="E106" s="171">
        <f t="shared" si="1"/>
        <v>24149.002499999991</v>
      </c>
      <c r="F106" s="212" t="s">
        <v>174</v>
      </c>
      <c r="G106" s="173" t="s">
        <v>38</v>
      </c>
      <c r="H106" s="188" t="s">
        <v>144</v>
      </c>
      <c r="I106" s="127" t="s">
        <v>159</v>
      </c>
      <c r="J106"/>
      <c r="L106" s="20"/>
      <c r="M106" s="20"/>
      <c r="N106" s="2"/>
    </row>
    <row r="107" spans="1:17" ht="27" customHeight="1">
      <c r="A107" s="190">
        <v>45901</v>
      </c>
      <c r="B107" s="176" t="s">
        <v>58</v>
      </c>
      <c r="C107" s="197">
        <f>4746.78-C106</f>
        <v>7.0599999999994907</v>
      </c>
      <c r="D107" s="192"/>
      <c r="E107" s="171">
        <f t="shared" si="1"/>
        <v>24141.94249999999</v>
      </c>
      <c r="F107" s="213" t="s">
        <v>30</v>
      </c>
      <c r="G107" s="173" t="s">
        <v>38</v>
      </c>
      <c r="H107" s="188" t="s">
        <v>144</v>
      </c>
      <c r="I107" s="34" t="s">
        <v>166</v>
      </c>
      <c r="J107"/>
      <c r="L107" s="20"/>
      <c r="M107" s="20"/>
    </row>
    <row r="108" spans="1:17" ht="27" customHeight="1">
      <c r="A108" s="190">
        <v>45908</v>
      </c>
      <c r="B108" s="176" t="s">
        <v>50</v>
      </c>
      <c r="C108" s="185">
        <v>900</v>
      </c>
      <c r="D108" s="192"/>
      <c r="E108" s="171">
        <f t="shared" si="1"/>
        <v>23241.94249999999</v>
      </c>
      <c r="F108" s="213" t="s">
        <v>143</v>
      </c>
      <c r="G108" s="173" t="s">
        <v>36</v>
      </c>
      <c r="H108" s="188" t="s">
        <v>145</v>
      </c>
      <c r="I108" s="34" t="s">
        <v>159</v>
      </c>
      <c r="J108"/>
    </row>
    <row r="109" spans="1:17" ht="27" customHeight="1">
      <c r="A109" s="190">
        <v>45930</v>
      </c>
      <c r="B109" s="176" t="s">
        <v>55</v>
      </c>
      <c r="C109" s="185">
        <v>2100</v>
      </c>
      <c r="D109" s="192"/>
      <c r="E109" s="171">
        <f t="shared" si="1"/>
        <v>21141.94249999999</v>
      </c>
      <c r="F109" s="213" t="s">
        <v>142</v>
      </c>
      <c r="G109" s="173" t="s">
        <v>36</v>
      </c>
      <c r="H109" s="188" t="s">
        <v>145</v>
      </c>
      <c r="I109" s="127" t="s">
        <v>159</v>
      </c>
      <c r="J109"/>
      <c r="L109" s="20"/>
      <c r="M109" s="20"/>
    </row>
    <row r="110" spans="1:17" ht="27" customHeight="1">
      <c r="A110" s="190">
        <v>45930</v>
      </c>
      <c r="B110" s="176" t="s">
        <v>58</v>
      </c>
      <c r="C110" s="197">
        <v>12.69</v>
      </c>
      <c r="D110" s="192"/>
      <c r="E110" s="171">
        <f t="shared" si="1"/>
        <v>21129.252499999991</v>
      </c>
      <c r="F110" s="213" t="s">
        <v>30</v>
      </c>
      <c r="G110" s="173" t="s">
        <v>36</v>
      </c>
      <c r="H110" s="188" t="s">
        <v>145</v>
      </c>
      <c r="I110" s="34" t="s">
        <v>166</v>
      </c>
      <c r="J110"/>
      <c r="L110" s="20"/>
      <c r="M110" s="20"/>
    </row>
    <row r="111" spans="1:17" s="84" customFormat="1" ht="27" customHeight="1">
      <c r="A111" s="190">
        <v>45938</v>
      </c>
      <c r="B111" s="198" t="s">
        <v>38</v>
      </c>
      <c r="C111" s="199"/>
      <c r="D111" s="199">
        <v>10015.950000000001</v>
      </c>
      <c r="E111" s="171">
        <f t="shared" si="1"/>
        <v>31145.202499999992</v>
      </c>
      <c r="F111" s="168" t="s">
        <v>140</v>
      </c>
      <c r="G111" s="173" t="s">
        <v>38</v>
      </c>
      <c r="H111" s="188" t="s">
        <v>144</v>
      </c>
      <c r="I111" s="34" t="s">
        <v>159</v>
      </c>
      <c r="J111"/>
      <c r="K111" s="3"/>
      <c r="L111" s="3"/>
      <c r="M111" s="3"/>
      <c r="N111" s="3"/>
      <c r="O111" s="118"/>
      <c r="Q111" s="3"/>
    </row>
    <row r="112" spans="1:17" s="84" customFormat="1" ht="27" customHeight="1">
      <c r="A112" s="190">
        <v>45938</v>
      </c>
      <c r="B112" s="198" t="s">
        <v>51</v>
      </c>
      <c r="C112" s="199">
        <v>500.8</v>
      </c>
      <c r="D112" s="199"/>
      <c r="E112" s="171">
        <f t="shared" si="1"/>
        <v>30644.402499999993</v>
      </c>
      <c r="F112" s="168"/>
      <c r="G112" s="173" t="s">
        <v>38</v>
      </c>
      <c r="H112" s="188" t="s">
        <v>144</v>
      </c>
      <c r="I112" s="34" t="s">
        <v>166</v>
      </c>
      <c r="J112"/>
      <c r="O112" s="118"/>
    </row>
    <row r="113" spans="1:18" ht="27" customHeight="1">
      <c r="A113" s="190">
        <v>45946</v>
      </c>
      <c r="B113" s="200" t="s">
        <v>115</v>
      </c>
      <c r="C113" s="201">
        <v>16925.68</v>
      </c>
      <c r="D113" s="201"/>
      <c r="E113" s="171">
        <f t="shared" si="1"/>
        <v>13718.722499999993</v>
      </c>
      <c r="F113" s="185" t="s">
        <v>150</v>
      </c>
      <c r="G113" s="194" t="s">
        <v>43</v>
      </c>
      <c r="H113" s="188" t="s">
        <v>144</v>
      </c>
      <c r="I113" s="127" t="s">
        <v>159</v>
      </c>
      <c r="J113"/>
      <c r="K113" s="84"/>
      <c r="L113" s="84"/>
      <c r="M113" s="84"/>
      <c r="N113" s="84"/>
    </row>
    <row r="114" spans="1:18" ht="27" customHeight="1">
      <c r="A114" s="190">
        <v>45946</v>
      </c>
      <c r="B114" s="200" t="s">
        <v>58</v>
      </c>
      <c r="C114" s="201">
        <f>16932.76-C113</f>
        <v>7.0799999999981083</v>
      </c>
      <c r="D114" s="201"/>
      <c r="E114" s="171">
        <f t="shared" si="1"/>
        <v>13711.642499999994</v>
      </c>
      <c r="F114" s="185" t="s">
        <v>30</v>
      </c>
      <c r="G114" s="194" t="s">
        <v>43</v>
      </c>
      <c r="H114" s="188" t="s">
        <v>144</v>
      </c>
      <c r="I114" s="34" t="s">
        <v>166</v>
      </c>
      <c r="J114"/>
      <c r="R114" s="101"/>
    </row>
    <row r="115" spans="1:18" s="2" customFormat="1" ht="27" customHeight="1">
      <c r="A115" s="195">
        <v>45951</v>
      </c>
      <c r="B115" s="202" t="s">
        <v>151</v>
      </c>
      <c r="C115" s="201">
        <v>750</v>
      </c>
      <c r="D115" s="203"/>
      <c r="E115" s="171">
        <f t="shared" si="1"/>
        <v>12961.642499999994</v>
      </c>
      <c r="F115" s="213" t="s">
        <v>152</v>
      </c>
      <c r="G115" s="173" t="s">
        <v>38</v>
      </c>
      <c r="H115" s="188" t="s">
        <v>144</v>
      </c>
      <c r="I115" s="113" t="s">
        <v>159</v>
      </c>
      <c r="J115"/>
      <c r="K115" s="3"/>
      <c r="L115" s="3"/>
      <c r="M115" s="3"/>
      <c r="N115" s="3"/>
      <c r="O115" s="116"/>
    </row>
    <row r="116" spans="1:18" ht="27" customHeight="1">
      <c r="A116" s="195">
        <v>45951</v>
      </c>
      <c r="B116" s="200" t="s">
        <v>58</v>
      </c>
      <c r="C116" s="201">
        <v>7.08</v>
      </c>
      <c r="D116" s="201"/>
      <c r="E116" s="171">
        <f t="shared" si="1"/>
        <v>12954.562499999995</v>
      </c>
      <c r="F116" s="185" t="s">
        <v>30</v>
      </c>
      <c r="G116" s="194" t="s">
        <v>80</v>
      </c>
      <c r="H116" s="188" t="s">
        <v>144</v>
      </c>
      <c r="I116" s="34" t="s">
        <v>166</v>
      </c>
      <c r="J116"/>
      <c r="K116" s="2"/>
      <c r="L116" s="2"/>
      <c r="M116" s="2"/>
      <c r="N116" s="2"/>
      <c r="R116" s="101"/>
    </row>
    <row r="117" spans="1:18" s="2" customFormat="1" ht="27" customHeight="1">
      <c r="A117" s="195">
        <v>45951</v>
      </c>
      <c r="B117" s="202" t="s">
        <v>55</v>
      </c>
      <c r="C117" s="201">
        <v>12531.92</v>
      </c>
      <c r="D117" s="203"/>
      <c r="E117" s="171">
        <f t="shared" si="1"/>
        <v>422.64249999999447</v>
      </c>
      <c r="F117" s="213" t="s">
        <v>134</v>
      </c>
      <c r="G117" s="179" t="s">
        <v>37</v>
      </c>
      <c r="H117" s="188" t="s">
        <v>145</v>
      </c>
      <c r="I117" s="127" t="s">
        <v>159</v>
      </c>
      <c r="J117"/>
      <c r="K117" s="3"/>
      <c r="L117" s="3"/>
      <c r="M117" s="3"/>
      <c r="N117" s="3"/>
      <c r="O117" s="116"/>
    </row>
    <row r="118" spans="1:18" ht="27" customHeight="1">
      <c r="A118" s="195">
        <v>45951</v>
      </c>
      <c r="B118" s="200" t="s">
        <v>58</v>
      </c>
      <c r="C118" s="201">
        <v>14.81</v>
      </c>
      <c r="D118" s="201"/>
      <c r="E118" s="171">
        <f t="shared" si="1"/>
        <v>407.83249999999447</v>
      </c>
      <c r="F118" s="185" t="s">
        <v>30</v>
      </c>
      <c r="G118" s="194" t="s">
        <v>37</v>
      </c>
      <c r="H118" s="188" t="s">
        <v>145</v>
      </c>
      <c r="I118" s="34" t="s">
        <v>166</v>
      </c>
      <c r="J118"/>
      <c r="K118" s="2"/>
      <c r="L118" s="2"/>
      <c r="M118" s="2"/>
      <c r="N118" s="2"/>
      <c r="R118" s="101"/>
    </row>
    <row r="119" spans="1:18" s="2" customFormat="1" ht="27" customHeight="1">
      <c r="A119" s="195">
        <v>45960</v>
      </c>
      <c r="B119" s="200" t="s">
        <v>74</v>
      </c>
      <c r="C119" s="204"/>
      <c r="D119" s="204">
        <v>13073.68</v>
      </c>
      <c r="E119" s="171">
        <f t="shared" si="1"/>
        <v>13481.512499999995</v>
      </c>
      <c r="F119" s="213"/>
      <c r="G119" s="194" t="s">
        <v>43</v>
      </c>
      <c r="H119" s="188" t="s">
        <v>144</v>
      </c>
      <c r="I119" s="113" t="s">
        <v>159</v>
      </c>
      <c r="J119"/>
      <c r="K119" s="3"/>
      <c r="L119" s="3"/>
      <c r="M119" s="3"/>
      <c r="N119" s="3"/>
      <c r="O119" s="116"/>
    </row>
    <row r="120" spans="1:18" s="2" customFormat="1" ht="27" customHeight="1">
      <c r="A120" s="195">
        <v>45960</v>
      </c>
      <c r="B120" s="200" t="s">
        <v>58</v>
      </c>
      <c r="C120" s="204">
        <v>9.02</v>
      </c>
      <c r="D120" s="205"/>
      <c r="E120" s="171">
        <f t="shared" si="1"/>
        <v>13472.492499999995</v>
      </c>
      <c r="F120" s="213"/>
      <c r="G120" s="194" t="s">
        <v>43</v>
      </c>
      <c r="H120" s="188" t="s">
        <v>144</v>
      </c>
      <c r="I120" s="131" t="s">
        <v>166</v>
      </c>
      <c r="J120" s="110">
        <f>+D119-C120</f>
        <v>13064.66</v>
      </c>
      <c r="K120" s="3"/>
      <c r="L120" s="20"/>
      <c r="M120" s="20"/>
      <c r="O120" s="116"/>
    </row>
    <row r="121" spans="1:18" s="2" customFormat="1" ht="27" customHeight="1">
      <c r="A121" s="195">
        <v>45960</v>
      </c>
      <c r="B121" s="200" t="s">
        <v>151</v>
      </c>
      <c r="C121" s="201">
        <v>4681.1499999999996</v>
      </c>
      <c r="D121" s="203"/>
      <c r="E121" s="171">
        <f t="shared" si="1"/>
        <v>8791.3424999999952</v>
      </c>
      <c r="F121" s="185" t="s">
        <v>154</v>
      </c>
      <c r="G121" s="194" t="s">
        <v>41</v>
      </c>
      <c r="H121" s="188" t="s">
        <v>145</v>
      </c>
      <c r="I121" s="113" t="s">
        <v>159</v>
      </c>
      <c r="J121"/>
      <c r="K121" s="3"/>
      <c r="L121" s="20"/>
      <c r="M121" s="20"/>
      <c r="O121" s="116"/>
    </row>
    <row r="122" spans="1:18" s="2" customFormat="1" ht="27" customHeight="1">
      <c r="A122" s="195">
        <v>45960</v>
      </c>
      <c r="B122" s="200" t="s">
        <v>58</v>
      </c>
      <c r="C122" s="201">
        <f>4695.8-C121</f>
        <v>14.650000000000546</v>
      </c>
      <c r="D122" s="203"/>
      <c r="E122" s="171">
        <f t="shared" si="1"/>
        <v>8776.6924999999937</v>
      </c>
      <c r="F122" s="185" t="s">
        <v>30</v>
      </c>
      <c r="G122" s="194" t="s">
        <v>41</v>
      </c>
      <c r="H122" s="188" t="s">
        <v>145</v>
      </c>
      <c r="I122" s="113" t="s">
        <v>159</v>
      </c>
      <c r="J122"/>
      <c r="K122" s="3"/>
      <c r="L122" s="20"/>
      <c r="M122" s="20"/>
      <c r="O122" s="116"/>
    </row>
    <row r="123" spans="1:18" s="2" customFormat="1" ht="27" customHeight="1">
      <c r="A123" s="195">
        <v>45980</v>
      </c>
      <c r="B123" s="200" t="s">
        <v>55</v>
      </c>
      <c r="C123" s="201">
        <v>2404.8000000000002</v>
      </c>
      <c r="D123" s="203"/>
      <c r="E123" s="171">
        <f t="shared" si="1"/>
        <v>6371.8924999999936</v>
      </c>
      <c r="F123" s="185" t="s">
        <v>172</v>
      </c>
      <c r="G123" s="185" t="s">
        <v>38</v>
      </c>
      <c r="H123" s="180" t="s">
        <v>144</v>
      </c>
      <c r="I123" s="127" t="s">
        <v>159</v>
      </c>
      <c r="J123"/>
      <c r="L123" s="134"/>
      <c r="M123" s="134"/>
      <c r="O123" s="116"/>
    </row>
    <row r="124" spans="1:18" s="2" customFormat="1" ht="27" customHeight="1">
      <c r="A124" s="195">
        <v>45980</v>
      </c>
      <c r="B124" s="200" t="s">
        <v>58</v>
      </c>
      <c r="C124" s="201">
        <f>2411.86-2404.8</f>
        <v>7.0599999999999454</v>
      </c>
      <c r="D124" s="203"/>
      <c r="E124" s="171">
        <f t="shared" si="1"/>
        <v>6364.8324999999932</v>
      </c>
      <c r="F124" s="185" t="s">
        <v>30</v>
      </c>
      <c r="G124" s="185" t="s">
        <v>38</v>
      </c>
      <c r="H124" s="180" t="s">
        <v>144</v>
      </c>
      <c r="I124" s="127" t="s">
        <v>166</v>
      </c>
      <c r="J124"/>
      <c r="L124" s="134"/>
      <c r="M124" s="134"/>
      <c r="O124" s="116"/>
    </row>
    <row r="125" spans="1:18" s="2" customFormat="1" ht="33" customHeight="1">
      <c r="A125" s="195">
        <v>45980</v>
      </c>
      <c r="B125" s="200" t="s">
        <v>157</v>
      </c>
      <c r="C125" s="204"/>
      <c r="D125" s="204">
        <v>10380.959999999999</v>
      </c>
      <c r="E125" s="171">
        <f t="shared" si="1"/>
        <v>16745.792499999992</v>
      </c>
      <c r="F125" s="213"/>
      <c r="G125" s="194" t="s">
        <v>37</v>
      </c>
      <c r="H125" s="180" t="s">
        <v>145</v>
      </c>
      <c r="I125" s="113" t="s">
        <v>159</v>
      </c>
      <c r="J125"/>
      <c r="O125" s="116"/>
    </row>
    <row r="126" spans="1:18" s="2" customFormat="1" ht="27" customHeight="1">
      <c r="A126" s="195">
        <v>45980</v>
      </c>
      <c r="B126" s="200" t="s">
        <v>58</v>
      </c>
      <c r="C126" s="204">
        <f>+D125-10372.59</f>
        <v>8.3699999999989814</v>
      </c>
      <c r="D126" s="204"/>
      <c r="E126" s="171">
        <f t="shared" si="1"/>
        <v>16737.422499999993</v>
      </c>
      <c r="F126" s="213"/>
      <c r="G126" s="194" t="s">
        <v>97</v>
      </c>
      <c r="H126" s="180" t="s">
        <v>145</v>
      </c>
      <c r="I126" s="113" t="s">
        <v>166</v>
      </c>
      <c r="J126"/>
      <c r="L126" s="134"/>
      <c r="M126" s="134"/>
      <c r="O126" s="116"/>
    </row>
    <row r="127" spans="1:18" s="2" customFormat="1" ht="27" customHeight="1">
      <c r="A127" s="195">
        <v>45980</v>
      </c>
      <c r="B127" s="200" t="s">
        <v>51</v>
      </c>
      <c r="C127" s="204">
        <f>+(D125-C126)*0.04</f>
        <v>414.90360000000004</v>
      </c>
      <c r="D127" s="204"/>
      <c r="E127" s="171">
        <f t="shared" si="1"/>
        <v>16322.518899999994</v>
      </c>
      <c r="F127" s="206">
        <v>0.04</v>
      </c>
      <c r="G127" s="194"/>
      <c r="H127" s="180" t="s">
        <v>145</v>
      </c>
      <c r="I127" s="113" t="s">
        <v>166</v>
      </c>
      <c r="J127"/>
      <c r="L127" s="134"/>
      <c r="M127" s="134"/>
      <c r="O127" s="116"/>
    </row>
    <row r="128" spans="1:18" s="2" customFormat="1" ht="36.75" customHeight="1">
      <c r="A128" s="195">
        <v>45999</v>
      </c>
      <c r="B128" s="200" t="s">
        <v>55</v>
      </c>
      <c r="C128" s="204">
        <v>10922.84</v>
      </c>
      <c r="D128" s="204"/>
      <c r="E128" s="171">
        <f t="shared" si="1"/>
        <v>5399.6788999999935</v>
      </c>
      <c r="F128" s="206" t="s">
        <v>156</v>
      </c>
      <c r="G128" s="194" t="s">
        <v>155</v>
      </c>
      <c r="H128" s="180" t="s">
        <v>145</v>
      </c>
      <c r="I128" s="113" t="s">
        <v>159</v>
      </c>
      <c r="J128"/>
      <c r="L128" s="134"/>
      <c r="M128" s="134"/>
      <c r="O128" s="116"/>
    </row>
    <row r="129" spans="1:16" s="2" customFormat="1" ht="27" customHeight="1">
      <c r="A129" s="195">
        <v>45999</v>
      </c>
      <c r="B129" s="200" t="s">
        <v>58</v>
      </c>
      <c r="C129" s="204">
        <f>10937.61-C128</f>
        <v>14.770000000000437</v>
      </c>
      <c r="D129" s="204"/>
      <c r="E129" s="171">
        <f t="shared" si="1"/>
        <v>5384.9088999999931</v>
      </c>
      <c r="F129" s="206"/>
      <c r="G129" s="194" t="s">
        <v>155</v>
      </c>
      <c r="H129" s="180" t="s">
        <v>145</v>
      </c>
      <c r="I129" s="113" t="s">
        <v>166</v>
      </c>
      <c r="J129"/>
      <c r="L129" s="134"/>
      <c r="M129" s="134"/>
      <c r="O129" s="116"/>
    </row>
    <row r="130" spans="1:16" s="2" customFormat="1" ht="82.5">
      <c r="A130" s="195">
        <v>46010</v>
      </c>
      <c r="B130" s="200" t="s">
        <v>151</v>
      </c>
      <c r="C130" s="204">
        <v>4665</v>
      </c>
      <c r="D130" s="204"/>
      <c r="E130" s="171">
        <f t="shared" si="1"/>
        <v>719.90889999999308</v>
      </c>
      <c r="F130" s="206" t="s">
        <v>175</v>
      </c>
      <c r="G130" s="194" t="s">
        <v>38</v>
      </c>
      <c r="H130" s="180" t="s">
        <v>144</v>
      </c>
      <c r="I130" s="113" t="s">
        <v>159</v>
      </c>
      <c r="J130"/>
      <c r="K130"/>
      <c r="L130"/>
      <c r="M130"/>
      <c r="N130"/>
      <c r="O130"/>
    </row>
    <row r="131" spans="1:16" s="2" customFormat="1" ht="27" customHeight="1">
      <c r="A131" s="195">
        <v>46010</v>
      </c>
      <c r="B131" s="200" t="s">
        <v>58</v>
      </c>
      <c r="C131" s="204">
        <f>4672.07-C130</f>
        <v>7.069999999999709</v>
      </c>
      <c r="D131" s="204"/>
      <c r="E131" s="171">
        <f t="shared" si="1"/>
        <v>712.83889999999337</v>
      </c>
      <c r="F131" s="206"/>
      <c r="G131" s="194" t="s">
        <v>38</v>
      </c>
      <c r="H131" s="180" t="s">
        <v>144</v>
      </c>
      <c r="I131" s="113" t="s">
        <v>166</v>
      </c>
      <c r="J131"/>
      <c r="K131"/>
      <c r="L131"/>
      <c r="M131"/>
      <c r="N131"/>
      <c r="O131"/>
    </row>
    <row r="132" spans="1:16" s="2" customFormat="1" ht="36" customHeight="1">
      <c r="A132" s="195">
        <v>46010</v>
      </c>
      <c r="B132" s="200" t="s">
        <v>169</v>
      </c>
      <c r="C132" s="204"/>
      <c r="D132" s="204">
        <v>8000</v>
      </c>
      <c r="E132" s="171">
        <f t="shared" si="1"/>
        <v>8712.8388999999934</v>
      </c>
      <c r="F132" s="206"/>
      <c r="G132" s="194" t="s">
        <v>37</v>
      </c>
      <c r="H132" s="180" t="s">
        <v>145</v>
      </c>
      <c r="I132" s="113" t="s">
        <v>159</v>
      </c>
      <c r="J132"/>
      <c r="K132"/>
      <c r="L132"/>
      <c r="M132"/>
      <c r="N132"/>
      <c r="O132"/>
    </row>
    <row r="133" spans="1:16" s="2" customFormat="1" ht="27" customHeight="1">
      <c r="A133" s="195">
        <v>46010</v>
      </c>
      <c r="B133" s="200" t="s">
        <v>58</v>
      </c>
      <c r="C133" s="204">
        <f>+D132-7991.63</f>
        <v>8.3699999999998909</v>
      </c>
      <c r="D133" s="205"/>
      <c r="E133" s="171">
        <f t="shared" si="1"/>
        <v>8704.4688999999926</v>
      </c>
      <c r="F133" s="206"/>
      <c r="G133" s="194" t="s">
        <v>37</v>
      </c>
      <c r="H133" s="180" t="s">
        <v>145</v>
      </c>
      <c r="I133" s="113" t="s">
        <v>166</v>
      </c>
      <c r="J133"/>
      <c r="K133"/>
      <c r="L133"/>
      <c r="M133"/>
      <c r="N133"/>
      <c r="O133"/>
    </row>
    <row r="134" spans="1:16" s="2" customFormat="1" ht="27" customHeight="1">
      <c r="A134" s="195">
        <v>46007</v>
      </c>
      <c r="B134" s="200" t="s">
        <v>51</v>
      </c>
      <c r="C134" s="204">
        <f>+(D132-C133)*0.04</f>
        <v>319.66520000000003</v>
      </c>
      <c r="D134" s="204"/>
      <c r="E134" s="171">
        <f t="shared" si="1"/>
        <v>8384.8036999999931</v>
      </c>
      <c r="F134" s="207">
        <v>0.04</v>
      </c>
      <c r="G134" s="194" t="s">
        <v>37</v>
      </c>
      <c r="H134" s="180" t="s">
        <v>145</v>
      </c>
      <c r="I134" s="113" t="s">
        <v>166</v>
      </c>
      <c r="J134"/>
      <c r="K134"/>
      <c r="L134"/>
      <c r="M134"/>
      <c r="N134"/>
      <c r="O134"/>
    </row>
    <row r="135" spans="1:16" s="2" customFormat="1" ht="27" customHeight="1">
      <c r="A135" s="195">
        <v>46016</v>
      </c>
      <c r="B135" s="200" t="s">
        <v>151</v>
      </c>
      <c r="C135" s="204">
        <v>3217.2</v>
      </c>
      <c r="D135" s="204"/>
      <c r="E135" s="171">
        <f t="shared" si="1"/>
        <v>5167.6036999999933</v>
      </c>
      <c r="F135" s="207" t="s">
        <v>173</v>
      </c>
      <c r="G135" s="194" t="s">
        <v>39</v>
      </c>
      <c r="H135" s="180" t="s">
        <v>144</v>
      </c>
      <c r="I135" s="113" t="s">
        <v>159</v>
      </c>
      <c r="J135"/>
      <c r="K135"/>
      <c r="L135"/>
      <c r="M135"/>
      <c r="N135"/>
      <c r="O135"/>
    </row>
    <row r="136" spans="1:16" s="2" customFormat="1" ht="27" customHeight="1">
      <c r="A136" s="195">
        <v>46016</v>
      </c>
      <c r="B136" s="200" t="s">
        <v>58</v>
      </c>
      <c r="C136" s="204"/>
      <c r="D136" s="204">
        <f>+C135-3214.79</f>
        <v>2.4099999999998545</v>
      </c>
      <c r="E136" s="171">
        <f t="shared" si="1"/>
        <v>5170.0136999999932</v>
      </c>
      <c r="F136" s="207"/>
      <c r="G136" s="194" t="s">
        <v>39</v>
      </c>
      <c r="H136" s="180" t="s">
        <v>144</v>
      </c>
      <c r="I136" s="113" t="s">
        <v>166</v>
      </c>
      <c r="J136"/>
      <c r="K136"/>
      <c r="L136"/>
      <c r="M136"/>
      <c r="N136"/>
      <c r="O136"/>
    </row>
    <row r="137" spans="1:16" s="2" customFormat="1" ht="41.25" customHeight="1">
      <c r="A137" s="195">
        <v>46021</v>
      </c>
      <c r="B137" s="200" t="s">
        <v>169</v>
      </c>
      <c r="C137" s="204"/>
      <c r="D137" s="204">
        <f>34603.2-D125-D132</f>
        <v>16222.239999999998</v>
      </c>
      <c r="E137" s="171">
        <f t="shared" si="1"/>
        <v>21392.25369999999</v>
      </c>
      <c r="F137" s="207"/>
      <c r="G137" s="194" t="s">
        <v>37</v>
      </c>
      <c r="H137" s="180" t="s">
        <v>145</v>
      </c>
      <c r="I137" s="113" t="s">
        <v>159</v>
      </c>
      <c r="J137"/>
      <c r="K137"/>
      <c r="L137"/>
      <c r="M137"/>
      <c r="N137"/>
      <c r="O137"/>
    </row>
    <row r="138" spans="1:16" s="2" customFormat="1" ht="27" customHeight="1">
      <c r="A138" s="195">
        <v>46021</v>
      </c>
      <c r="B138" s="200" t="s">
        <v>58</v>
      </c>
      <c r="C138" s="204">
        <f>+D137-16213.87</f>
        <v>8.3699999999971624</v>
      </c>
      <c r="D138" s="205"/>
      <c r="E138" s="171">
        <f t="shared" si="1"/>
        <v>21383.883699999991</v>
      </c>
      <c r="F138" s="206"/>
      <c r="G138" s="194" t="s">
        <v>37</v>
      </c>
      <c r="H138" s="180" t="s">
        <v>145</v>
      </c>
      <c r="I138" s="113" t="s">
        <v>166</v>
      </c>
      <c r="J138"/>
      <c r="K138"/>
      <c r="L138"/>
      <c r="M138"/>
      <c r="N138"/>
      <c r="O138"/>
    </row>
    <row r="139" spans="1:16" s="2" customFormat="1" ht="27" customHeight="1">
      <c r="A139" s="195">
        <v>46021</v>
      </c>
      <c r="B139" s="200" t="s">
        <v>51</v>
      </c>
      <c r="C139" s="204">
        <f>+(D137-C138)*0.04</f>
        <v>648.5548</v>
      </c>
      <c r="D139" s="204"/>
      <c r="E139" s="272">
        <f t="shared" si="1"/>
        <v>20735.32889999999</v>
      </c>
      <c r="F139" s="207">
        <v>0.04</v>
      </c>
      <c r="G139" s="194" t="s">
        <v>37</v>
      </c>
      <c r="H139" s="180" t="s">
        <v>145</v>
      </c>
      <c r="I139" s="113" t="s">
        <v>166</v>
      </c>
      <c r="J139"/>
      <c r="K139"/>
      <c r="L139"/>
      <c r="M139"/>
      <c r="N139"/>
      <c r="O139"/>
    </row>
    <row r="140" spans="1:16" s="2" customFormat="1" ht="57.6" customHeight="1">
      <c r="A140" s="260">
        <v>46027</v>
      </c>
      <c r="B140" s="257" t="s">
        <v>55</v>
      </c>
      <c r="C140" s="258">
        <v>8400</v>
      </c>
      <c r="D140" s="259"/>
      <c r="E140" s="258">
        <f t="shared" si="1"/>
        <v>12335.32889999999</v>
      </c>
      <c r="F140" s="207" t="s">
        <v>176</v>
      </c>
      <c r="G140" s="194" t="s">
        <v>43</v>
      </c>
      <c r="H140" s="180" t="s">
        <v>144</v>
      </c>
      <c r="I140" s="113" t="s">
        <v>159</v>
      </c>
      <c r="J140"/>
      <c r="K140"/>
      <c r="L140"/>
      <c r="M140"/>
      <c r="N140"/>
      <c r="O140"/>
    </row>
    <row r="141" spans="1:16" s="2" customFormat="1" ht="27" customHeight="1">
      <c r="A141" s="260">
        <v>46027</v>
      </c>
      <c r="B141" s="257" t="s">
        <v>58</v>
      </c>
      <c r="C141" s="258">
        <v>7.05</v>
      </c>
      <c r="D141" s="258"/>
      <c r="E141" s="258">
        <f t="shared" si="1"/>
        <v>12328.27889999999</v>
      </c>
      <c r="F141" s="213"/>
      <c r="G141" s="194" t="s">
        <v>43</v>
      </c>
      <c r="H141" s="180" t="s">
        <v>144</v>
      </c>
      <c r="I141" s="113" t="s">
        <v>166</v>
      </c>
      <c r="J141"/>
      <c r="K141"/>
      <c r="L141"/>
      <c r="M141"/>
      <c r="N141"/>
      <c r="O141"/>
    </row>
    <row r="142" spans="1:16" s="2" customFormat="1" ht="27" customHeight="1">
      <c r="A142" s="195">
        <v>46045</v>
      </c>
      <c r="B142" s="200" t="s">
        <v>151</v>
      </c>
      <c r="C142" s="204">
        <v>1307.05</v>
      </c>
      <c r="D142" s="204"/>
      <c r="E142" s="258">
        <f t="shared" si="1"/>
        <v>11021.228899999991</v>
      </c>
      <c r="F142" s="206" t="s">
        <v>180</v>
      </c>
      <c r="G142" s="271" t="s">
        <v>179</v>
      </c>
      <c r="H142" s="180" t="s">
        <v>144</v>
      </c>
      <c r="I142" s="113" t="s">
        <v>159</v>
      </c>
      <c r="J142"/>
      <c r="K142"/>
      <c r="L142"/>
      <c r="M142"/>
      <c r="N142"/>
      <c r="O142"/>
    </row>
    <row r="143" spans="1:16" s="2" customFormat="1" ht="27" customHeight="1">
      <c r="A143" s="195">
        <v>46048</v>
      </c>
      <c r="B143" s="200" t="s">
        <v>182</v>
      </c>
      <c r="C143" s="204"/>
      <c r="D143" s="204">
        <v>1298.07</v>
      </c>
      <c r="E143" s="273">
        <f t="shared" si="1"/>
        <v>12319.298899999991</v>
      </c>
      <c r="F143" s="206" t="s">
        <v>181</v>
      </c>
      <c r="G143" s="271" t="s">
        <v>179</v>
      </c>
      <c r="H143" s="180" t="s">
        <v>144</v>
      </c>
      <c r="I143" s="113" t="s">
        <v>183</v>
      </c>
      <c r="J143"/>
      <c r="K143"/>
      <c r="L143"/>
      <c r="M143"/>
      <c r="N143"/>
      <c r="O143"/>
    </row>
    <row r="144" spans="1:16" s="2" customFormat="1" ht="49.5">
      <c r="A144" s="195">
        <v>46055</v>
      </c>
      <c r="B144" s="257" t="s">
        <v>55</v>
      </c>
      <c r="C144" s="258">
        <v>7697.5</v>
      </c>
      <c r="D144" s="259"/>
      <c r="E144" s="258">
        <f t="shared" si="1"/>
        <v>4621.7988999999907</v>
      </c>
      <c r="F144" s="207" t="s">
        <v>184</v>
      </c>
      <c r="G144" s="194" t="s">
        <v>39</v>
      </c>
      <c r="H144" s="180" t="s">
        <v>144</v>
      </c>
      <c r="I144" s="113" t="s">
        <v>159</v>
      </c>
      <c r="J144" s="133"/>
      <c r="K144" s="133"/>
      <c r="N144" s="133"/>
      <c r="O144" s="133"/>
      <c r="P144" s="133"/>
    </row>
    <row r="145" spans="1:16" s="2" customFormat="1" ht="27" customHeight="1">
      <c r="A145" s="195">
        <v>46055</v>
      </c>
      <c r="B145" s="257" t="s">
        <v>58</v>
      </c>
      <c r="C145" s="258">
        <v>14.72</v>
      </c>
      <c r="D145" s="258"/>
      <c r="E145" s="258">
        <f t="shared" si="1"/>
        <v>4607.0788999999904</v>
      </c>
      <c r="F145" s="213"/>
      <c r="G145" s="194" t="s">
        <v>39</v>
      </c>
      <c r="H145" s="180" t="s">
        <v>144</v>
      </c>
      <c r="I145" s="113" t="s">
        <v>166</v>
      </c>
      <c r="J145" s="133"/>
      <c r="K145" s="274"/>
      <c r="N145" s="133"/>
      <c r="O145" s="133"/>
      <c r="P145" s="133"/>
    </row>
    <row r="146" spans="1:16" s="2" customFormat="1" ht="27" customHeight="1">
      <c r="A146" s="195">
        <v>46056</v>
      </c>
      <c r="B146" s="257" t="s">
        <v>170</v>
      </c>
      <c r="C146" s="258"/>
      <c r="D146" s="258">
        <v>15603.84</v>
      </c>
      <c r="E146" s="258">
        <f t="shared" si="1"/>
        <v>20210.91889999999</v>
      </c>
      <c r="F146" s="207"/>
      <c r="G146" s="194" t="s">
        <v>41</v>
      </c>
      <c r="H146" s="180" t="s">
        <v>145</v>
      </c>
      <c r="I146" s="113" t="s">
        <v>159</v>
      </c>
      <c r="J146" s="133"/>
      <c r="K146" s="274"/>
      <c r="L146" s="133"/>
      <c r="M146" s="133"/>
      <c r="N146" s="133"/>
      <c r="O146" s="133"/>
    </row>
    <row r="147" spans="1:16" s="2" customFormat="1" ht="27" customHeight="1">
      <c r="A147" s="195">
        <v>46056</v>
      </c>
      <c r="B147" s="257" t="s">
        <v>58</v>
      </c>
      <c r="C147" s="258">
        <v>8.34</v>
      </c>
      <c r="D147" s="258"/>
      <c r="E147" s="258">
        <f t="shared" si="1"/>
        <v>20202.57889999999</v>
      </c>
      <c r="F147" s="213"/>
      <c r="G147" s="194" t="s">
        <v>41</v>
      </c>
      <c r="H147" s="180" t="s">
        <v>145</v>
      </c>
      <c r="I147" s="113" t="s">
        <v>166</v>
      </c>
      <c r="J147" s="133"/>
      <c r="K147" s="133"/>
      <c r="L147" s="133"/>
      <c r="M147" s="133"/>
      <c r="N147" s="133"/>
      <c r="O147" s="133"/>
    </row>
    <row r="148" spans="1:16" s="2" customFormat="1" ht="27" customHeight="1">
      <c r="A148" s="195">
        <v>46056</v>
      </c>
      <c r="B148" s="257" t="s">
        <v>51</v>
      </c>
      <c r="C148" s="258">
        <f>+(D146-C147)*0.05</f>
        <v>779.77500000000009</v>
      </c>
      <c r="D148" s="258"/>
      <c r="E148" s="258">
        <f t="shared" si="1"/>
        <v>19422.803899999988</v>
      </c>
      <c r="F148" s="207">
        <v>0.05</v>
      </c>
      <c r="G148" s="194" t="s">
        <v>41</v>
      </c>
      <c r="H148" s="180" t="s">
        <v>145</v>
      </c>
      <c r="I148" s="113" t="s">
        <v>166</v>
      </c>
      <c r="J148" s="133"/>
      <c r="K148" s="133"/>
      <c r="N148" s="133"/>
      <c r="O148" s="133"/>
      <c r="P148" s="133"/>
    </row>
    <row r="149" spans="1:16" s="2" customFormat="1" ht="27" customHeight="1">
      <c r="A149" s="195">
        <v>46059</v>
      </c>
      <c r="B149" s="257" t="s">
        <v>55</v>
      </c>
      <c r="C149" s="258">
        <f>14400-2200-2940-700</f>
        <v>8560</v>
      </c>
      <c r="D149" s="258"/>
      <c r="E149" s="258">
        <f t="shared" si="1"/>
        <v>10862.803899999988</v>
      </c>
      <c r="F149" s="213" t="s">
        <v>178</v>
      </c>
      <c r="G149" s="194" t="s">
        <v>114</v>
      </c>
      <c r="H149" s="180" t="s">
        <v>145</v>
      </c>
      <c r="I149" s="113" t="s">
        <v>159</v>
      </c>
      <c r="J149" s="133"/>
      <c r="K149" s="133"/>
      <c r="N149" s="133"/>
      <c r="O149" s="133"/>
      <c r="P149" s="133"/>
    </row>
    <row r="150" spans="1:16" s="2" customFormat="1" ht="27" customHeight="1">
      <c r="A150" s="195">
        <v>46059</v>
      </c>
      <c r="B150" s="257" t="s">
        <v>58</v>
      </c>
      <c r="C150" s="258">
        <v>7.04</v>
      </c>
      <c r="D150" s="258"/>
      <c r="E150" s="258">
        <f t="shared" si="1"/>
        <v>10855.763899999987</v>
      </c>
      <c r="F150" s="213"/>
      <c r="G150" s="194" t="s">
        <v>36</v>
      </c>
      <c r="H150" s="180" t="s">
        <v>145</v>
      </c>
      <c r="I150" s="113" t="s">
        <v>166</v>
      </c>
      <c r="J150" s="133"/>
      <c r="K150" s="133"/>
      <c r="N150" s="133"/>
      <c r="O150" s="133"/>
      <c r="P150" s="133"/>
    </row>
    <row r="151" spans="1:16" s="2" customFormat="1" ht="31.5" customHeight="1">
      <c r="A151" s="195">
        <v>46059</v>
      </c>
      <c r="B151" s="257" t="s">
        <v>6</v>
      </c>
      <c r="C151" s="258"/>
      <c r="D151" s="258">
        <v>10000</v>
      </c>
      <c r="E151" s="258">
        <f t="shared" si="1"/>
        <v>20855.763899999987</v>
      </c>
      <c r="F151" s="213" t="s">
        <v>28</v>
      </c>
      <c r="G151" s="194"/>
      <c r="H151" s="180" t="s">
        <v>158</v>
      </c>
      <c r="I151" s="113"/>
      <c r="J151" s="133"/>
      <c r="K151" s="133"/>
      <c r="L151" s="274"/>
      <c r="M151" s="133"/>
      <c r="N151" s="133"/>
      <c r="O151" s="133"/>
    </row>
    <row r="152" spans="1:16" s="2" customFormat="1" ht="31.5" customHeight="1">
      <c r="A152" s="195">
        <v>46078</v>
      </c>
      <c r="B152" s="257" t="s">
        <v>55</v>
      </c>
      <c r="C152" s="258">
        <v>20200.439999999999</v>
      </c>
      <c r="D152" s="258"/>
      <c r="E152" s="258">
        <f t="shared" ref="E152:E184" si="2">+E151+D152-C152</f>
        <v>655.3238999999885</v>
      </c>
      <c r="F152" s="213" t="s">
        <v>187</v>
      </c>
      <c r="G152" s="194" t="s">
        <v>38</v>
      </c>
      <c r="H152" s="180" t="s">
        <v>144</v>
      </c>
      <c r="I152" s="113" t="s">
        <v>159</v>
      </c>
      <c r="J152" s="133"/>
      <c r="K152" s="133"/>
      <c r="L152" s="274"/>
      <c r="M152" s="133"/>
      <c r="N152" s="133"/>
      <c r="O152" s="133"/>
    </row>
    <row r="153" spans="1:16" s="2" customFormat="1" ht="31.5" customHeight="1">
      <c r="A153" s="195">
        <v>46078</v>
      </c>
      <c r="B153" s="257" t="s">
        <v>58</v>
      </c>
      <c r="C153" s="258">
        <v>7.04</v>
      </c>
      <c r="D153" s="258"/>
      <c r="E153" s="273">
        <f t="shared" si="2"/>
        <v>648.28389999998853</v>
      </c>
      <c r="F153" s="213"/>
      <c r="G153" s="194" t="s">
        <v>38</v>
      </c>
      <c r="H153" s="180" t="s">
        <v>144</v>
      </c>
      <c r="I153" s="113" t="s">
        <v>166</v>
      </c>
      <c r="J153" s="133"/>
      <c r="K153" s="133"/>
      <c r="L153" s="274"/>
      <c r="M153" s="133"/>
      <c r="N153" s="133"/>
      <c r="O153" s="133"/>
    </row>
    <row r="154" spans="1:16" s="2" customFormat="1" ht="27" customHeight="1">
      <c r="A154" s="195">
        <v>46062</v>
      </c>
      <c r="B154" s="257" t="s">
        <v>151</v>
      </c>
      <c r="C154" s="258">
        <v>6571.37</v>
      </c>
      <c r="D154" s="258"/>
      <c r="E154" s="258">
        <f t="shared" si="2"/>
        <v>-5923.0861000000114</v>
      </c>
      <c r="F154" s="213" t="s">
        <v>190</v>
      </c>
      <c r="G154" s="194" t="s">
        <v>35</v>
      </c>
      <c r="H154" s="180" t="s">
        <v>145</v>
      </c>
      <c r="I154" s="113" t="s">
        <v>159</v>
      </c>
      <c r="J154" s="133"/>
      <c r="L154" s="134"/>
      <c r="M154" s="134"/>
      <c r="O154" s="116"/>
    </row>
    <row r="155" spans="1:16" s="2" customFormat="1" ht="27" customHeight="1">
      <c r="A155" s="195">
        <v>46062</v>
      </c>
      <c r="B155" s="257" t="s">
        <v>58</v>
      </c>
      <c r="C155" s="258">
        <v>14.68</v>
      </c>
      <c r="D155" s="258"/>
      <c r="E155" s="258">
        <f t="shared" si="2"/>
        <v>-5937.7661000000116</v>
      </c>
      <c r="F155" s="213"/>
      <c r="G155" s="194" t="s">
        <v>35</v>
      </c>
      <c r="H155" s="180" t="s">
        <v>145</v>
      </c>
      <c r="I155" s="113" t="s">
        <v>166</v>
      </c>
      <c r="J155" s="133"/>
      <c r="L155" s="134"/>
      <c r="M155" s="134"/>
      <c r="O155" s="116"/>
    </row>
    <row r="156" spans="1:16" s="2" customFormat="1" ht="27" customHeight="1">
      <c r="A156" s="195">
        <v>46063</v>
      </c>
      <c r="B156" s="257" t="s">
        <v>185</v>
      </c>
      <c r="C156" s="258"/>
      <c r="D156" s="258">
        <v>10896.7</v>
      </c>
      <c r="E156" s="258">
        <f t="shared" si="2"/>
        <v>4958.9338999999891</v>
      </c>
      <c r="F156" s="213"/>
      <c r="G156" s="194" t="s">
        <v>186</v>
      </c>
      <c r="H156" s="180" t="s">
        <v>144</v>
      </c>
      <c r="I156" s="113" t="s">
        <v>159</v>
      </c>
      <c r="J156" s="133"/>
      <c r="L156" s="134"/>
      <c r="M156" s="134"/>
      <c r="O156" s="116"/>
    </row>
    <row r="157" spans="1:16" s="2" customFormat="1" ht="27" customHeight="1">
      <c r="A157" s="195">
        <v>46063</v>
      </c>
      <c r="B157" s="257" t="s">
        <v>58</v>
      </c>
      <c r="C157" s="258">
        <v>15.29</v>
      </c>
      <c r="D157" s="258"/>
      <c r="E157" s="258">
        <f t="shared" si="2"/>
        <v>4943.6438999999891</v>
      </c>
      <c r="F157" s="213"/>
      <c r="G157" s="194" t="s">
        <v>186</v>
      </c>
      <c r="H157" s="180" t="s">
        <v>144</v>
      </c>
      <c r="I157" s="113" t="s">
        <v>166</v>
      </c>
      <c r="J157" s="133"/>
      <c r="L157" s="134"/>
      <c r="M157" s="134"/>
      <c r="O157" s="116"/>
    </row>
    <row r="158" spans="1:16" s="2" customFormat="1" ht="27" customHeight="1">
      <c r="A158" s="195">
        <v>46063</v>
      </c>
      <c r="B158" s="257" t="s">
        <v>51</v>
      </c>
      <c r="C158" s="258">
        <f>+(D156-C157)*0.05</f>
        <v>544.07050000000004</v>
      </c>
      <c r="D158" s="258"/>
      <c r="E158" s="258">
        <f t="shared" si="2"/>
        <v>4399.5733999999893</v>
      </c>
      <c r="F158" s="207">
        <v>0.05</v>
      </c>
      <c r="G158" s="194" t="s">
        <v>186</v>
      </c>
      <c r="H158" s="180" t="s">
        <v>144</v>
      </c>
      <c r="I158" s="113" t="s">
        <v>166</v>
      </c>
      <c r="J158" s="133"/>
      <c r="L158" s="134"/>
      <c r="M158" s="134"/>
      <c r="O158" s="116"/>
    </row>
    <row r="159" spans="1:16" s="2" customFormat="1" ht="27" customHeight="1">
      <c r="A159" s="195">
        <v>46129</v>
      </c>
      <c r="B159" s="257" t="s">
        <v>191</v>
      </c>
      <c r="C159" s="258">
        <v>1150</v>
      </c>
      <c r="D159" s="258"/>
      <c r="E159" s="258">
        <f t="shared" si="2"/>
        <v>3249.5733999999893</v>
      </c>
      <c r="F159" s="213" t="s">
        <v>192</v>
      </c>
      <c r="G159" s="194" t="s">
        <v>188</v>
      </c>
      <c r="H159" s="180" t="s">
        <v>145</v>
      </c>
      <c r="I159" s="113" t="s">
        <v>159</v>
      </c>
      <c r="J159" s="133"/>
      <c r="L159" s="134"/>
      <c r="M159" s="134"/>
      <c r="O159" s="116"/>
    </row>
    <row r="160" spans="1:16" s="2" customFormat="1" ht="27" customHeight="1">
      <c r="A160" s="195">
        <v>46129</v>
      </c>
      <c r="B160" s="257" t="s">
        <v>58</v>
      </c>
      <c r="C160" s="258">
        <v>7.02</v>
      </c>
      <c r="D160" s="258"/>
      <c r="E160" s="258">
        <f t="shared" si="2"/>
        <v>3242.5533999999893</v>
      </c>
      <c r="F160" s="213"/>
      <c r="G160" s="194" t="s">
        <v>188</v>
      </c>
      <c r="H160" s="180" t="s">
        <v>145</v>
      </c>
      <c r="I160" s="113" t="s">
        <v>166</v>
      </c>
      <c r="J160" s="133"/>
      <c r="L160" s="134"/>
      <c r="M160" s="134"/>
      <c r="O160" s="116"/>
    </row>
    <row r="161" spans="1:16" s="2" customFormat="1" ht="31.5" customHeight="1">
      <c r="A161" s="195">
        <v>46153</v>
      </c>
      <c r="B161" s="257" t="s">
        <v>191</v>
      </c>
      <c r="C161" s="258">
        <v>300</v>
      </c>
      <c r="D161" s="258"/>
      <c r="E161" s="258">
        <f t="shared" si="2"/>
        <v>2942.5533999999893</v>
      </c>
      <c r="F161" s="213" t="s">
        <v>192</v>
      </c>
      <c r="G161" s="194" t="s">
        <v>188</v>
      </c>
      <c r="H161" s="180" t="s">
        <v>145</v>
      </c>
      <c r="I161" s="113" t="s">
        <v>159</v>
      </c>
      <c r="J161" s="133"/>
      <c r="K161" s="133"/>
      <c r="L161" s="274"/>
      <c r="M161" s="133"/>
      <c r="N161" s="133"/>
      <c r="O161" s="133"/>
    </row>
    <row r="162" spans="1:16" s="2" customFormat="1" ht="27" customHeight="1">
      <c r="A162" s="195">
        <v>46153</v>
      </c>
      <c r="B162" s="257" t="s">
        <v>58</v>
      </c>
      <c r="C162" s="258">
        <v>2.02</v>
      </c>
      <c r="D162" s="258"/>
      <c r="E162" s="273">
        <f t="shared" si="2"/>
        <v>2940.5333999999893</v>
      </c>
      <c r="F162" s="213"/>
      <c r="G162" s="194" t="s">
        <v>188</v>
      </c>
      <c r="H162" s="180" t="s">
        <v>145</v>
      </c>
      <c r="I162" s="113" t="s">
        <v>166</v>
      </c>
      <c r="J162" s="133"/>
      <c r="L162" s="134"/>
      <c r="M162" s="134"/>
      <c r="O162" s="116"/>
    </row>
    <row r="163" spans="1:16" s="2" customFormat="1" ht="31.5" customHeight="1">
      <c r="A163" s="195">
        <v>46166</v>
      </c>
      <c r="B163" s="286" t="s">
        <v>196</v>
      </c>
      <c r="C163" s="258"/>
      <c r="D163" s="258">
        <v>14400</v>
      </c>
      <c r="E163" s="258">
        <f t="shared" si="2"/>
        <v>17340.533399999989</v>
      </c>
      <c r="F163" s="213"/>
      <c r="G163" s="287" t="s">
        <v>36</v>
      </c>
      <c r="H163" s="180" t="s">
        <v>145</v>
      </c>
      <c r="I163" s="113" t="s">
        <v>159</v>
      </c>
      <c r="J163" s="133"/>
      <c r="K163" s="133"/>
      <c r="L163" s="274"/>
      <c r="M163" s="133"/>
      <c r="N163" s="133"/>
      <c r="O163" s="133"/>
    </row>
    <row r="164" spans="1:16" s="2" customFormat="1" ht="31.5" customHeight="1">
      <c r="A164" s="195">
        <v>46166</v>
      </c>
      <c r="B164" s="257" t="s">
        <v>58</v>
      </c>
      <c r="C164" s="258">
        <f>D163-14299.69</f>
        <v>100.30999999999949</v>
      </c>
      <c r="D164" s="258"/>
      <c r="E164" s="258">
        <f t="shared" si="2"/>
        <v>17240.223399999988</v>
      </c>
      <c r="F164" s="213"/>
      <c r="G164" s="287" t="s">
        <v>36</v>
      </c>
      <c r="H164" s="180" t="s">
        <v>145</v>
      </c>
      <c r="I164" s="113" t="s">
        <v>166</v>
      </c>
      <c r="J164" s="133"/>
      <c r="K164" s="133"/>
      <c r="L164" s="274"/>
      <c r="M164" s="133"/>
      <c r="N164" s="133"/>
      <c r="O164" s="133"/>
    </row>
    <row r="165" spans="1:16" s="2" customFormat="1" ht="31.5" customHeight="1">
      <c r="A165" s="195">
        <v>46166</v>
      </c>
      <c r="B165" s="257" t="s">
        <v>51</v>
      </c>
      <c r="C165" s="258">
        <f>+(D163-C164)*0.05</f>
        <v>714.98450000000003</v>
      </c>
      <c r="D165" s="258"/>
      <c r="E165" s="258">
        <f t="shared" si="2"/>
        <v>16525.238899999989</v>
      </c>
      <c r="F165" s="285">
        <v>0.05</v>
      </c>
      <c r="G165" s="287" t="s">
        <v>36</v>
      </c>
      <c r="H165" s="180" t="s">
        <v>145</v>
      </c>
      <c r="I165" s="113" t="s">
        <v>166</v>
      </c>
      <c r="J165" s="133"/>
      <c r="K165" s="133"/>
      <c r="L165" s="274"/>
      <c r="M165" s="133"/>
      <c r="N165" s="133"/>
      <c r="O165" s="133"/>
    </row>
    <row r="166" spans="1:16" s="2" customFormat="1" ht="31.5" customHeight="1">
      <c r="A166" s="195">
        <v>46199</v>
      </c>
      <c r="B166" s="257" t="s">
        <v>55</v>
      </c>
      <c r="C166" s="258">
        <v>15333.19</v>
      </c>
      <c r="D166" s="258"/>
      <c r="E166" s="258">
        <f t="shared" si="2"/>
        <v>1192.0488999999889</v>
      </c>
      <c r="F166" s="213" t="s">
        <v>197</v>
      </c>
      <c r="G166" s="287" t="s">
        <v>35</v>
      </c>
      <c r="H166" s="180" t="s">
        <v>145</v>
      </c>
      <c r="I166" s="113" t="s">
        <v>159</v>
      </c>
      <c r="J166" s="133"/>
      <c r="K166" s="133"/>
      <c r="L166" s="274"/>
      <c r="M166" s="133"/>
      <c r="N166" s="133"/>
      <c r="O166" s="133"/>
    </row>
    <row r="167" spans="1:16" s="2" customFormat="1" ht="31.5" customHeight="1">
      <c r="A167" s="195">
        <v>46199</v>
      </c>
      <c r="B167" s="257" t="s">
        <v>58</v>
      </c>
      <c r="C167" s="258">
        <f>15347.85-C166</f>
        <v>14.659999999999854</v>
      </c>
      <c r="D167" s="258"/>
      <c r="E167" s="288">
        <f t="shared" si="2"/>
        <v>1177.388899999989</v>
      </c>
      <c r="F167" s="213"/>
      <c r="G167" s="287"/>
      <c r="H167" s="180" t="s">
        <v>145</v>
      </c>
      <c r="I167" s="113" t="s">
        <v>166</v>
      </c>
      <c r="J167" s="133"/>
      <c r="K167" s="133"/>
      <c r="L167" s="274"/>
      <c r="M167" s="133"/>
      <c r="N167" s="133"/>
      <c r="O167" s="133"/>
    </row>
    <row r="168" spans="1:16" s="2" customFormat="1" ht="31.5" customHeight="1">
      <c r="A168" s="195">
        <v>46205</v>
      </c>
      <c r="B168" s="286" t="s">
        <v>198</v>
      </c>
      <c r="C168" s="258">
        <v>1183</v>
      </c>
      <c r="D168" s="258"/>
      <c r="E168" s="258">
        <f t="shared" si="2"/>
        <v>-5.6111000000109925</v>
      </c>
      <c r="F168" s="213" t="s">
        <v>199</v>
      </c>
      <c r="G168" s="287" t="s">
        <v>43</v>
      </c>
      <c r="H168" s="180" t="s">
        <v>144</v>
      </c>
      <c r="I168" s="113" t="s">
        <v>159</v>
      </c>
      <c r="J168" s="133"/>
      <c r="K168" s="133"/>
      <c r="L168" s="274"/>
      <c r="M168" s="133"/>
      <c r="N168" s="133"/>
      <c r="O168" s="133"/>
    </row>
    <row r="169" spans="1:16" s="2" customFormat="1" ht="31.5" customHeight="1">
      <c r="A169" s="195">
        <v>46205</v>
      </c>
      <c r="B169" s="286" t="s">
        <v>58</v>
      </c>
      <c r="C169" s="258">
        <f>1190.01-C168</f>
        <v>7.0099999999999909</v>
      </c>
      <c r="D169" s="258"/>
      <c r="E169" s="258">
        <f t="shared" si="2"/>
        <v>-12.621100000010983</v>
      </c>
      <c r="F169" s="213"/>
      <c r="G169" s="287" t="s">
        <v>43</v>
      </c>
      <c r="H169" s="180" t="s">
        <v>144</v>
      </c>
      <c r="I169" s="113" t="s">
        <v>166</v>
      </c>
      <c r="J169" s="133"/>
      <c r="K169" s="133"/>
      <c r="L169" s="274"/>
      <c r="M169" s="133"/>
      <c r="N169" s="133"/>
      <c r="O169" s="133"/>
    </row>
    <row r="170" spans="1:16" s="2" customFormat="1" ht="31.5" customHeight="1">
      <c r="A170" s="195">
        <v>46232</v>
      </c>
      <c r="B170" s="286" t="s">
        <v>200</v>
      </c>
      <c r="C170" s="258"/>
      <c r="D170" s="258">
        <v>21904.560000000001</v>
      </c>
      <c r="E170" s="258">
        <f t="shared" si="2"/>
        <v>21891.93889999999</v>
      </c>
      <c r="F170" s="213"/>
      <c r="G170" s="194" t="s">
        <v>35</v>
      </c>
      <c r="H170" s="180" t="s">
        <v>145</v>
      </c>
      <c r="I170" s="113" t="s">
        <v>159</v>
      </c>
      <c r="J170" s="133"/>
      <c r="K170" s="133"/>
      <c r="L170" s="274"/>
      <c r="M170" s="133"/>
      <c r="N170" s="133"/>
      <c r="O170" s="133"/>
    </row>
    <row r="171" spans="1:16" s="2" customFormat="1" ht="31.5" customHeight="1">
      <c r="A171" s="195">
        <v>46232</v>
      </c>
      <c r="B171" s="257" t="s">
        <v>58</v>
      </c>
      <c r="C171" s="258">
        <f>+D170-21824.26</f>
        <v>80.30000000000291</v>
      </c>
      <c r="D171" s="258"/>
      <c r="E171" s="258">
        <f t="shared" si="2"/>
        <v>21811.638899999987</v>
      </c>
      <c r="F171" s="213"/>
      <c r="G171" s="194" t="s">
        <v>35</v>
      </c>
      <c r="H171" s="180" t="s">
        <v>145</v>
      </c>
      <c r="I171" s="113" t="s">
        <v>166</v>
      </c>
      <c r="J171" s="133"/>
      <c r="K171" s="133"/>
      <c r="L171" s="274"/>
      <c r="M171" s="133"/>
      <c r="N171" s="133"/>
      <c r="O171" s="133"/>
    </row>
    <row r="172" spans="1:16" s="2" customFormat="1" ht="31.5" customHeight="1">
      <c r="A172" s="195">
        <v>46232</v>
      </c>
      <c r="B172" s="257" t="s">
        <v>51</v>
      </c>
      <c r="C172" s="258">
        <f>(+D170-C171)*5%</f>
        <v>1091.213</v>
      </c>
      <c r="D172" s="258"/>
      <c r="E172" s="258">
        <f t="shared" si="2"/>
        <v>20720.425899999987</v>
      </c>
      <c r="F172" s="213"/>
      <c r="G172" s="194" t="s">
        <v>35</v>
      </c>
      <c r="H172" s="180" t="s">
        <v>145</v>
      </c>
      <c r="I172" s="113" t="s">
        <v>166</v>
      </c>
      <c r="J172" s="133"/>
      <c r="K172" s="133"/>
      <c r="L172" s="274"/>
      <c r="M172" s="133"/>
      <c r="N172" s="133"/>
      <c r="O172" s="133"/>
    </row>
    <row r="173" spans="1:16" s="2" customFormat="1" ht="31.5" customHeight="1">
      <c r="A173" s="195">
        <v>46238</v>
      </c>
      <c r="B173" s="257" t="s">
        <v>203</v>
      </c>
      <c r="C173" s="258">
        <v>10000</v>
      </c>
      <c r="D173" s="258"/>
      <c r="E173" s="258">
        <f t="shared" si="2"/>
        <v>10720.425899999987</v>
      </c>
      <c r="F173" s="213" t="s">
        <v>205</v>
      </c>
      <c r="G173" s="194" t="s">
        <v>41</v>
      </c>
      <c r="H173" s="180" t="s">
        <v>145</v>
      </c>
      <c r="I173" s="113" t="s">
        <v>159</v>
      </c>
      <c r="J173" s="133"/>
      <c r="K173" s="133"/>
      <c r="L173" s="274"/>
      <c r="M173" s="133">
        <v>7000</v>
      </c>
      <c r="N173" s="133"/>
      <c r="O173" s="133"/>
      <c r="P173" s="2">
        <v>38639.839999999997</v>
      </c>
    </row>
    <row r="174" spans="1:16" s="2" customFormat="1" ht="31.5" customHeight="1">
      <c r="A174" s="195">
        <v>46238</v>
      </c>
      <c r="B174" s="257" t="s">
        <v>58</v>
      </c>
      <c r="C174" s="258">
        <v>15.3</v>
      </c>
      <c r="D174" s="258"/>
      <c r="E174" s="290">
        <f t="shared" si="2"/>
        <v>10705.125899999988</v>
      </c>
      <c r="F174" s="213"/>
      <c r="G174" s="194" t="s">
        <v>41</v>
      </c>
      <c r="H174" s="180" t="s">
        <v>145</v>
      </c>
      <c r="I174" s="113" t="s">
        <v>166</v>
      </c>
      <c r="J174" s="133"/>
      <c r="K174" s="133"/>
      <c r="L174" s="274"/>
      <c r="M174" s="133">
        <v>4641.3599999999997</v>
      </c>
      <c r="N174" s="133"/>
      <c r="O174" s="133"/>
      <c r="P174" s="2">
        <v>-11641.4</v>
      </c>
    </row>
    <row r="175" spans="1:16" s="2" customFormat="1" ht="27" customHeight="1">
      <c r="A175" s="195">
        <v>46259</v>
      </c>
      <c r="B175" s="257" t="s">
        <v>36</v>
      </c>
      <c r="C175" s="258">
        <v>4320</v>
      </c>
      <c r="D175" s="258"/>
      <c r="E175" s="258">
        <f t="shared" si="2"/>
        <v>6385.1258999999882</v>
      </c>
      <c r="F175" s="213" t="s">
        <v>209</v>
      </c>
      <c r="G175" s="185" t="s">
        <v>36</v>
      </c>
      <c r="H175" s="180" t="s">
        <v>208</v>
      </c>
      <c r="I175" s="113" t="s">
        <v>159</v>
      </c>
      <c r="J175" s="133"/>
      <c r="M175" s="2">
        <f>+M173+M174</f>
        <v>11641.36</v>
      </c>
      <c r="P175" s="2">
        <v>-2400</v>
      </c>
    </row>
    <row r="176" spans="1:16" s="2" customFormat="1" ht="27" customHeight="1">
      <c r="A176" s="195">
        <v>46259</v>
      </c>
      <c r="B176" s="257" t="s">
        <v>58</v>
      </c>
      <c r="C176" s="258">
        <v>7.03</v>
      </c>
      <c r="D176" s="258"/>
      <c r="E176" s="258">
        <f t="shared" si="2"/>
        <v>6378.0958999999884</v>
      </c>
      <c r="F176" s="213"/>
      <c r="G176" s="185" t="s">
        <v>36</v>
      </c>
      <c r="H176" s="180" t="s">
        <v>208</v>
      </c>
      <c r="I176" s="113" t="s">
        <v>166</v>
      </c>
      <c r="J176" s="133"/>
      <c r="M176" s="2">
        <v>-11591.95</v>
      </c>
      <c r="P176" s="2">
        <f>+SUM(P173:P175)</f>
        <v>24598.439999999995</v>
      </c>
    </row>
    <row r="177" spans="1:16" s="2" customFormat="1" ht="27" customHeight="1">
      <c r="A177" s="195">
        <v>46259</v>
      </c>
      <c r="B177" s="257" t="s">
        <v>38</v>
      </c>
      <c r="C177" s="258">
        <f>16701-13740.48</f>
        <v>2960.5200000000004</v>
      </c>
      <c r="D177" s="258"/>
      <c r="E177" s="258">
        <f t="shared" si="2"/>
        <v>3417.575899999988</v>
      </c>
      <c r="F177" s="213" t="s">
        <v>210</v>
      </c>
      <c r="G177" s="185" t="s">
        <v>38</v>
      </c>
      <c r="H177" s="180" t="s">
        <v>144</v>
      </c>
      <c r="I177" s="113" t="s">
        <v>159</v>
      </c>
      <c r="J177" s="133"/>
      <c r="M177" s="2">
        <f>+M175+M176</f>
        <v>49.409999999999854</v>
      </c>
      <c r="P177" s="2">
        <v>24647.89</v>
      </c>
    </row>
    <row r="178" spans="1:16" s="2" customFormat="1" ht="27" customHeight="1">
      <c r="A178" s="195">
        <v>46259</v>
      </c>
      <c r="B178" s="257" t="s">
        <v>58</v>
      </c>
      <c r="C178" s="258">
        <v>7.64</v>
      </c>
      <c r="D178" s="258"/>
      <c r="E178" s="258">
        <f t="shared" si="2"/>
        <v>3409.9358999999881</v>
      </c>
      <c r="F178" s="213"/>
      <c r="G178" s="185" t="s">
        <v>38</v>
      </c>
      <c r="H178" s="180" t="s">
        <v>144</v>
      </c>
      <c r="I178" s="113" t="s">
        <v>166</v>
      </c>
      <c r="J178" s="133"/>
      <c r="P178" s="2">
        <f>+P176-P177</f>
        <v>-49.450000000004366</v>
      </c>
    </row>
    <row r="179" spans="1:16" s="2" customFormat="1" ht="27" customHeight="1">
      <c r="A179" s="195">
        <v>46265</v>
      </c>
      <c r="B179" s="257" t="s">
        <v>188</v>
      </c>
      <c r="C179" s="258">
        <v>1150</v>
      </c>
      <c r="D179" s="258"/>
      <c r="E179" s="258">
        <f t="shared" si="2"/>
        <v>2259.9358999999881</v>
      </c>
      <c r="F179" s="213" t="s">
        <v>212</v>
      </c>
      <c r="G179" s="185" t="s">
        <v>188</v>
      </c>
      <c r="H179" s="180" t="s">
        <v>145</v>
      </c>
      <c r="I179" s="113" t="s">
        <v>159</v>
      </c>
      <c r="J179" s="133"/>
    </row>
    <row r="180" spans="1:16" s="2" customFormat="1" ht="41.25" customHeight="1">
      <c r="A180" s="195">
        <v>46265</v>
      </c>
      <c r="B180" s="257" t="s">
        <v>58</v>
      </c>
      <c r="C180" s="258">
        <v>7.02</v>
      </c>
      <c r="D180" s="258"/>
      <c r="E180" s="290">
        <f t="shared" si="2"/>
        <v>2252.9158999999881</v>
      </c>
      <c r="F180" s="213"/>
      <c r="G180" s="185" t="s">
        <v>188</v>
      </c>
      <c r="H180" s="180" t="s">
        <v>145</v>
      </c>
      <c r="I180" s="113" t="s">
        <v>166</v>
      </c>
      <c r="J180" s="133"/>
    </row>
    <row r="181" spans="1:16" s="2" customFormat="1" ht="36.75" customHeight="1">
      <c r="A181" s="195">
        <v>46269</v>
      </c>
      <c r="B181" s="257" t="s">
        <v>214</v>
      </c>
      <c r="C181" s="258"/>
      <c r="D181" s="258">
        <v>1183</v>
      </c>
      <c r="E181" s="258">
        <f t="shared" si="2"/>
        <v>3435.9158999999881</v>
      </c>
      <c r="F181" s="213"/>
      <c r="G181" s="185" t="s">
        <v>43</v>
      </c>
      <c r="H181" s="180" t="s">
        <v>144</v>
      </c>
      <c r="I181" s="113" t="s">
        <v>159</v>
      </c>
      <c r="J181" s="133"/>
      <c r="P181" s="2">
        <v>632.14</v>
      </c>
    </row>
    <row r="182" spans="1:16" s="2" customFormat="1" ht="27" customHeight="1">
      <c r="A182" s="195">
        <v>46269</v>
      </c>
      <c r="B182" s="257" t="s">
        <v>58</v>
      </c>
      <c r="C182" s="258">
        <f>+D181-1134.22</f>
        <v>48.779999999999973</v>
      </c>
      <c r="D182" s="258"/>
      <c r="E182" s="258">
        <f t="shared" si="2"/>
        <v>3387.1358999999884</v>
      </c>
      <c r="F182" s="213"/>
      <c r="G182" s="185" t="s">
        <v>43</v>
      </c>
      <c r="H182" s="180" t="s">
        <v>144</v>
      </c>
      <c r="I182" s="113" t="s">
        <v>166</v>
      </c>
      <c r="J182" s="133"/>
      <c r="P182" s="2">
        <v>2646.64</v>
      </c>
    </row>
    <row r="183" spans="1:16" s="2" customFormat="1" ht="27" customHeight="1">
      <c r="A183" s="195">
        <v>46269</v>
      </c>
      <c r="B183" s="257" t="s">
        <v>51</v>
      </c>
      <c r="C183" s="258">
        <v>56.71</v>
      </c>
      <c r="D183" s="258"/>
      <c r="E183" s="258">
        <f t="shared" si="2"/>
        <v>3330.4258999999884</v>
      </c>
      <c r="F183" s="213"/>
      <c r="G183" s="185" t="s">
        <v>43</v>
      </c>
      <c r="H183" s="180" t="s">
        <v>144</v>
      </c>
      <c r="I183" s="113" t="s">
        <v>166</v>
      </c>
      <c r="J183" s="133"/>
      <c r="P183" s="2">
        <f>+P181+P182</f>
        <v>3278.7799999999997</v>
      </c>
    </row>
    <row r="184" spans="1:16" s="2" customFormat="1" ht="27" customHeight="1">
      <c r="A184" s="195">
        <v>46269</v>
      </c>
      <c r="B184" s="257" t="s">
        <v>151</v>
      </c>
      <c r="C184" s="258">
        <v>3100</v>
      </c>
      <c r="D184" s="258"/>
      <c r="E184" s="273">
        <f t="shared" si="2"/>
        <v>230.42589999998836</v>
      </c>
      <c r="F184" s="213" t="s">
        <v>213</v>
      </c>
      <c r="G184" s="185" t="s">
        <v>211</v>
      </c>
      <c r="H184" s="180" t="s">
        <v>144</v>
      </c>
      <c r="I184" s="113" t="s">
        <v>166</v>
      </c>
      <c r="J184" s="133" t="s">
        <v>215</v>
      </c>
    </row>
    <row r="185" spans="1:16" s="2" customFormat="1" ht="27" customHeight="1">
      <c r="A185" s="195"/>
      <c r="B185" s="257"/>
      <c r="C185" s="258"/>
      <c r="D185" s="258"/>
      <c r="E185" s="213"/>
      <c r="F185" s="213"/>
      <c r="G185" s="185"/>
      <c r="H185" s="180"/>
      <c r="I185" s="113"/>
      <c r="J185" s="133"/>
    </row>
    <row r="186" spans="1:16" s="292" customFormat="1" ht="27" customHeight="1">
      <c r="A186" s="195"/>
      <c r="B186" s="257"/>
      <c r="C186" s="258"/>
      <c r="D186" s="258"/>
      <c r="E186" s="213"/>
      <c r="F186" s="213"/>
      <c r="G186" s="185"/>
      <c r="H186" s="180"/>
      <c r="I186" s="113"/>
      <c r="J186" s="291"/>
      <c r="K186" s="2"/>
    </row>
    <row r="187" spans="1:16" s="292" customFormat="1" ht="27" customHeight="1">
      <c r="A187" s="195"/>
      <c r="B187" s="257"/>
      <c r="C187" s="258"/>
      <c r="D187" s="258"/>
      <c r="E187" s="213"/>
      <c r="F187" s="213"/>
      <c r="G187" s="185"/>
      <c r="H187" s="180"/>
      <c r="I187" s="113"/>
      <c r="J187" s="291"/>
      <c r="K187" s="2"/>
    </row>
    <row r="188" spans="1:16" s="2" customFormat="1" ht="27" customHeight="1">
      <c r="A188" s="195"/>
      <c r="B188" s="257"/>
      <c r="C188" s="258"/>
      <c r="D188" s="258"/>
      <c r="E188" s="213"/>
      <c r="F188" s="213"/>
      <c r="G188" s="185"/>
      <c r="H188" s="180"/>
      <c r="I188" s="113"/>
      <c r="J188"/>
    </row>
    <row r="189" spans="1:16" s="2" customFormat="1" ht="27" customHeight="1">
      <c r="A189" s="279"/>
      <c r="B189" s="280"/>
      <c r="C189" s="276"/>
      <c r="D189" s="276"/>
      <c r="E189" s="276"/>
      <c r="F189" s="277"/>
      <c r="G189" s="281"/>
      <c r="H189" s="278"/>
      <c r="I189" s="28"/>
      <c r="J189"/>
      <c r="K189" s="3"/>
    </row>
    <row r="190" spans="1:16" s="2" customFormat="1" ht="27" customHeight="1">
      <c r="A190" s="302" t="s">
        <v>207</v>
      </c>
      <c r="B190" s="303"/>
      <c r="C190" s="303"/>
      <c r="D190" s="303"/>
      <c r="E190" s="303"/>
      <c r="F190" s="303"/>
      <c r="G190" s="303"/>
      <c r="H190" s="303"/>
      <c r="I190" s="303"/>
      <c r="J190"/>
      <c r="K190" s="3"/>
    </row>
    <row r="191" spans="1:16" customFormat="1" ht="27" customHeight="1">
      <c r="A191" s="150"/>
      <c r="B191" s="150"/>
      <c r="C191" s="208"/>
      <c r="D191" s="150"/>
      <c r="E191" s="208"/>
      <c r="F191" s="210"/>
      <c r="G191" s="150"/>
      <c r="H191" s="153"/>
      <c r="K191" s="3"/>
      <c r="L191" s="3"/>
      <c r="M191" s="3"/>
      <c r="N191" s="3"/>
      <c r="O191" s="101"/>
      <c r="P191" s="3"/>
    </row>
    <row r="192" spans="1:16" ht="27" customHeight="1">
      <c r="A192" s="297" t="s">
        <v>79</v>
      </c>
      <c r="B192" s="298"/>
      <c r="C192" s="298"/>
      <c r="D192" s="298"/>
      <c r="E192" s="298"/>
      <c r="F192" s="298"/>
      <c r="G192" s="299"/>
      <c r="J192"/>
      <c r="K192"/>
    </row>
    <row r="193" spans="1:10" ht="27" customHeight="1">
      <c r="A193" s="209"/>
      <c r="B193" s="202"/>
      <c r="C193" s="214"/>
      <c r="D193" s="282"/>
      <c r="E193" s="214"/>
      <c r="F193" s="275"/>
      <c r="G193" s="198"/>
      <c r="H193" s="180"/>
      <c r="J193"/>
    </row>
    <row r="194" spans="1:10" ht="27" customHeight="1">
      <c r="A194" s="209"/>
      <c r="B194" s="198"/>
      <c r="C194" s="214"/>
      <c r="D194" s="214"/>
      <c r="E194" s="214"/>
      <c r="F194" s="275"/>
      <c r="G194" s="198"/>
      <c r="H194" s="180"/>
      <c r="J194"/>
    </row>
    <row r="195" spans="1:10" ht="27" customHeight="1">
      <c r="D195" s="151"/>
      <c r="J195"/>
    </row>
    <row r="196" spans="1:10" ht="27" customHeight="1">
      <c r="A196" s="301" t="s">
        <v>118</v>
      </c>
      <c r="B196" s="301"/>
      <c r="C196" s="301"/>
      <c r="D196" s="301"/>
      <c r="E196" s="301"/>
      <c r="F196" s="301"/>
      <c r="G196" s="301"/>
      <c r="J196"/>
    </row>
    <row r="197" spans="1:10" ht="27" customHeight="1">
      <c r="A197" s="296"/>
      <c r="B197" s="296"/>
      <c r="C197" s="296"/>
      <c r="D197" s="296"/>
      <c r="E197" s="296"/>
      <c r="F197" s="296"/>
      <c r="G197" s="296"/>
      <c r="J197"/>
    </row>
    <row r="198" spans="1:10">
      <c r="A198" s="297" t="s">
        <v>217</v>
      </c>
      <c r="B198" s="298"/>
      <c r="C198" s="298"/>
      <c r="D198" s="298"/>
      <c r="E198" s="298"/>
      <c r="F198" s="298"/>
      <c r="G198" s="299"/>
    </row>
    <row r="199" spans="1:10" ht="27" customHeight="1">
      <c r="A199" s="209"/>
      <c r="B199" s="202" t="s">
        <v>189</v>
      </c>
      <c r="C199" s="214"/>
      <c r="D199" s="282">
        <f>31951.84-7000-3000</f>
        <v>21951.84</v>
      </c>
      <c r="E199" s="214" t="s">
        <v>129</v>
      </c>
      <c r="F199" s="275"/>
      <c r="G199" s="198"/>
      <c r="H199" s="180" t="s">
        <v>80</v>
      </c>
      <c r="J199"/>
    </row>
    <row r="200" spans="1:10" ht="27" customHeight="1">
      <c r="A200" s="293"/>
      <c r="B200" s="293" t="s">
        <v>37</v>
      </c>
      <c r="C200" s="293"/>
      <c r="D200" s="282">
        <f>34956-14000</f>
        <v>20956</v>
      </c>
      <c r="E200" s="294"/>
      <c r="F200" s="295" t="s">
        <v>216</v>
      </c>
      <c r="G200" s="293"/>
      <c r="H200" s="168" t="s">
        <v>97</v>
      </c>
      <c r="J200"/>
    </row>
  </sheetData>
  <autoFilter ref="A7:I186" xr:uid="{BED924C7-DEBF-40DB-9040-5E072283AD39}"/>
  <mergeCells count="5">
    <mergeCell ref="A198:G198"/>
    <mergeCell ref="J5:L5"/>
    <mergeCell ref="A196:G196"/>
    <mergeCell ref="A192:G192"/>
    <mergeCell ref="A190:I190"/>
  </mergeCells>
  <hyperlinks>
    <hyperlink ref="A190" r:id="rId1" xr:uid="{B1C76AED-B792-45E1-AA71-73C93C59AA24}"/>
  </hyperlinks>
  <pageMargins left="0.23622047244094491" right="0.23622047244094491" top="0.74803149606299213" bottom="0.74803149606299213" header="0.31496062992125984" footer="0.31496062992125984"/>
  <pageSetup paperSize="9" scale="31" fitToHeight="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ADB92-A907-43EA-99C9-D79ECBA022AB}">
  <sheetPr>
    <pageSetUpPr fitToPage="1"/>
  </sheetPr>
  <dimension ref="A1:R91"/>
  <sheetViews>
    <sheetView topLeftCell="A79" workbookViewId="0">
      <selection activeCell="C89" sqref="C89"/>
    </sheetView>
  </sheetViews>
  <sheetFormatPr baseColWidth="10" defaultColWidth="24" defaultRowHeight="18.75"/>
  <cols>
    <col min="1" max="1" width="12.42578125" style="17" bestFit="1" customWidth="1"/>
    <col min="2" max="2" width="29.85546875" style="3" customWidth="1"/>
    <col min="3" max="3" width="14.7109375" style="13" customWidth="1"/>
    <col min="4" max="4" width="15.42578125" style="12" bestFit="1" customWidth="1"/>
    <col min="5" max="5" width="13" style="13" bestFit="1" customWidth="1"/>
    <col min="6" max="6" width="40.42578125" style="3" customWidth="1"/>
    <col min="7" max="7" width="19.42578125" style="3" bestFit="1" customWidth="1"/>
    <col min="8" max="8" width="15" style="29" bestFit="1" customWidth="1"/>
    <col min="9" max="9" width="13.42578125" style="3" bestFit="1" customWidth="1"/>
    <col min="10" max="10" width="10" style="3" bestFit="1" customWidth="1"/>
    <col min="11" max="12" width="11.28515625" style="3" bestFit="1" customWidth="1"/>
    <col min="13" max="13" width="11.28515625" style="3" customWidth="1"/>
    <col min="14" max="14" width="11.28515625" style="3" bestFit="1" customWidth="1"/>
    <col min="15" max="15" width="14.42578125" style="101" bestFit="1" customWidth="1"/>
    <col min="16" max="16" width="11.28515625" style="3" bestFit="1" customWidth="1"/>
    <col min="17" max="16384" width="24" style="3"/>
  </cols>
  <sheetData>
    <row r="1" spans="1:17">
      <c r="J1" s="113" t="s">
        <v>160</v>
      </c>
      <c r="K1" s="113" t="s">
        <v>161</v>
      </c>
      <c r="L1" s="113" t="s">
        <v>165</v>
      </c>
      <c r="M1" s="113" t="s">
        <v>162</v>
      </c>
      <c r="N1" s="113" t="s">
        <v>5</v>
      </c>
    </row>
    <row r="2" spans="1:17">
      <c r="J2" s="34" t="s">
        <v>158</v>
      </c>
      <c r="K2" s="114">
        <f>+SUMIFS(D:D,H:H,J2)</f>
        <v>61650</v>
      </c>
      <c r="L2" s="114">
        <f>-SUMIFS(C:C,H:H,J2,I:I,"T")</f>
        <v>0</v>
      </c>
      <c r="M2" s="114">
        <f>-SUMIFS(C:C,H:H,J2,I:I,"G")</f>
        <v>-1849.5</v>
      </c>
      <c r="N2" s="114">
        <f>+SUM(K2:M2)</f>
        <v>59800.5</v>
      </c>
    </row>
    <row r="3" spans="1:17">
      <c r="J3" s="34" t="s">
        <v>144</v>
      </c>
      <c r="K3" s="114">
        <f>+SUMIFS(D:D,H:H,J3)</f>
        <v>0</v>
      </c>
      <c r="L3" s="114">
        <f>-SUMIFS(C:C,H:H,J3,I:I,"T")</f>
        <v>0</v>
      </c>
      <c r="M3" s="114">
        <f>-SUMIFS(C:C,H:H,J3,I:I,"G")</f>
        <v>0</v>
      </c>
      <c r="N3" s="114">
        <f>+SUM(K3:M3)</f>
        <v>0</v>
      </c>
      <c r="P3" s="100"/>
    </row>
    <row r="4" spans="1:17">
      <c r="J4" s="34" t="s">
        <v>145</v>
      </c>
      <c r="K4" s="114">
        <f>+SUMIFS(D:D,H:H,J4)</f>
        <v>134564.35999999999</v>
      </c>
      <c r="L4" s="114">
        <f>-SUMIFS(C:C,H:H,J4,I:I,"T")</f>
        <v>-162901.09</v>
      </c>
      <c r="M4" s="114">
        <f>-SUMIFS(C:C,H:H,J4,I:I,"G")</f>
        <v>-5688.4192999999987</v>
      </c>
      <c r="N4" s="114">
        <f>+SUM(K4:M4)</f>
        <v>-34025.149300000012</v>
      </c>
      <c r="O4" s="101">
        <f>+N2+N4</f>
        <v>25775.350699999988</v>
      </c>
      <c r="P4" s="115"/>
      <c r="Q4" s="100"/>
    </row>
    <row r="5" spans="1:17">
      <c r="J5" s="300" t="s">
        <v>163</v>
      </c>
      <c r="K5" s="300"/>
      <c r="L5" s="300"/>
      <c r="M5" s="34"/>
      <c r="N5" s="114">
        <f>+E73</f>
        <v>-17968.073299999996</v>
      </c>
      <c r="O5" s="132">
        <f>+N5-O4</f>
        <v>-43743.423999999985</v>
      </c>
      <c r="P5" s="115"/>
    </row>
    <row r="6" spans="1:17" ht="19.5" thickBot="1">
      <c r="J6" s="34" t="s">
        <v>164</v>
      </c>
      <c r="K6" s="114">
        <f>SUM(K2:K4)</f>
        <v>196214.36</v>
      </c>
      <c r="L6" s="114">
        <f>SUM(L2:L4)</f>
        <v>-162901.09</v>
      </c>
      <c r="M6" s="114">
        <f>SUM(M2:M4)</f>
        <v>-7537.9192999999987</v>
      </c>
      <c r="N6" s="114">
        <f>+N5-L6-M6</f>
        <v>152470.93600000002</v>
      </c>
    </row>
    <row r="7" spans="1:17" s="2" customFormat="1" ht="38.25" thickBot="1">
      <c r="A7" s="8" t="s">
        <v>0</v>
      </c>
      <c r="B7" s="9" t="s">
        <v>1</v>
      </c>
      <c r="C7" s="60" t="s">
        <v>3</v>
      </c>
      <c r="D7" s="61" t="s">
        <v>4</v>
      </c>
      <c r="E7" s="108" t="s">
        <v>5</v>
      </c>
      <c r="F7" s="62" t="s">
        <v>2</v>
      </c>
      <c r="G7" s="119" t="s">
        <v>33</v>
      </c>
      <c r="H7" s="125" t="s">
        <v>160</v>
      </c>
      <c r="I7" s="125" t="s">
        <v>167</v>
      </c>
      <c r="O7" s="116"/>
    </row>
    <row r="8" spans="1:17" ht="27" customHeight="1">
      <c r="A8" s="15">
        <v>45462</v>
      </c>
      <c r="B8" s="15" t="s">
        <v>6</v>
      </c>
      <c r="C8" s="63"/>
      <c r="D8" s="63">
        <v>2150</v>
      </c>
      <c r="E8" s="63">
        <v>2150</v>
      </c>
      <c r="F8" s="63" t="s">
        <v>25</v>
      </c>
      <c r="G8" s="63"/>
      <c r="H8" s="63" t="s">
        <v>158</v>
      </c>
      <c r="I8" s="63"/>
      <c r="L8" s="115">
        <f>+K6+M6</f>
        <v>188676.44069999998</v>
      </c>
      <c r="M8" s="115">
        <f>+L8+L6</f>
        <v>25775.350699999981</v>
      </c>
    </row>
    <row r="9" spans="1:17" ht="27" customHeight="1">
      <c r="A9" s="15">
        <v>45462</v>
      </c>
      <c r="B9" s="58" t="s">
        <v>7</v>
      </c>
      <c r="C9" s="64">
        <v>64.5</v>
      </c>
      <c r="D9" s="10"/>
      <c r="E9" s="18">
        <f>+E8+D9-C9</f>
        <v>2085.5</v>
      </c>
      <c r="F9" s="5" t="s">
        <v>15</v>
      </c>
      <c r="G9" s="120"/>
      <c r="H9" s="34" t="s">
        <v>158</v>
      </c>
      <c r="I9" s="34" t="s">
        <v>166</v>
      </c>
    </row>
    <row r="10" spans="1:17" ht="27" customHeight="1">
      <c r="A10" s="15">
        <v>45471</v>
      </c>
      <c r="B10" s="58" t="s">
        <v>6</v>
      </c>
      <c r="C10" s="64"/>
      <c r="D10" s="10">
        <v>7000</v>
      </c>
      <c r="E10" s="18">
        <f t="shared" ref="E10:E73" si="0">+E9+D10-C10</f>
        <v>9085.5</v>
      </c>
      <c r="F10" s="5" t="s">
        <v>24</v>
      </c>
      <c r="G10" s="120" t="s">
        <v>34</v>
      </c>
      <c r="H10" s="34" t="s">
        <v>145</v>
      </c>
      <c r="I10" s="34"/>
    </row>
    <row r="11" spans="1:17" ht="27" customHeight="1">
      <c r="A11" s="15">
        <v>45471</v>
      </c>
      <c r="B11" s="58" t="s">
        <v>7</v>
      </c>
      <c r="C11" s="64">
        <v>210</v>
      </c>
      <c r="D11" s="10"/>
      <c r="E11" s="18">
        <f t="shared" si="0"/>
        <v>8875.5</v>
      </c>
      <c r="F11" s="5" t="s">
        <v>15</v>
      </c>
      <c r="G11" s="120"/>
      <c r="H11" s="34" t="s">
        <v>145</v>
      </c>
      <c r="I11" s="34" t="s">
        <v>166</v>
      </c>
    </row>
    <row r="12" spans="1:17" ht="27" customHeight="1">
      <c r="A12" s="15">
        <v>45478</v>
      </c>
      <c r="B12" s="58" t="s">
        <v>9</v>
      </c>
      <c r="C12" s="64">
        <v>7000</v>
      </c>
      <c r="D12" s="10"/>
      <c r="E12" s="18">
        <f t="shared" si="0"/>
        <v>1875.5</v>
      </c>
      <c r="F12" s="5" t="s">
        <v>21</v>
      </c>
      <c r="G12" s="120" t="s">
        <v>37</v>
      </c>
      <c r="H12" s="34" t="s">
        <v>145</v>
      </c>
      <c r="I12" s="34" t="s">
        <v>159</v>
      </c>
    </row>
    <row r="13" spans="1:17" ht="27" customHeight="1">
      <c r="A13" s="15">
        <v>45478</v>
      </c>
      <c r="B13" s="58" t="s">
        <v>9</v>
      </c>
      <c r="C13" s="64">
        <v>14.73</v>
      </c>
      <c r="D13" s="10"/>
      <c r="E13" s="18">
        <f t="shared" si="0"/>
        <v>1860.77</v>
      </c>
      <c r="F13" s="5" t="s">
        <v>30</v>
      </c>
      <c r="G13" s="120"/>
      <c r="H13" s="34" t="s">
        <v>145</v>
      </c>
      <c r="I13" s="34" t="s">
        <v>159</v>
      </c>
    </row>
    <row r="14" spans="1:17" ht="27" customHeight="1">
      <c r="A14" s="15" t="s">
        <v>11</v>
      </c>
      <c r="B14" s="58" t="s">
        <v>6</v>
      </c>
      <c r="C14" s="64"/>
      <c r="D14" s="10">
        <v>5000</v>
      </c>
      <c r="E14" s="18">
        <f t="shared" si="0"/>
        <v>6860.77</v>
      </c>
      <c r="F14" s="5" t="s">
        <v>24</v>
      </c>
      <c r="G14" s="120"/>
      <c r="H14" s="34" t="s">
        <v>158</v>
      </c>
      <c r="I14" s="34"/>
      <c r="J14"/>
    </row>
    <row r="15" spans="1:17" ht="27" customHeight="1">
      <c r="A15" s="15">
        <v>45512</v>
      </c>
      <c r="B15" s="58" t="s">
        <v>6</v>
      </c>
      <c r="C15" s="64"/>
      <c r="D15" s="10">
        <v>5000</v>
      </c>
      <c r="E15" s="18">
        <f t="shared" si="0"/>
        <v>11860.77</v>
      </c>
      <c r="F15" s="5" t="s">
        <v>26</v>
      </c>
      <c r="G15" s="120"/>
      <c r="H15" s="34" t="s">
        <v>158</v>
      </c>
      <c r="I15" s="34"/>
      <c r="J15"/>
    </row>
    <row r="16" spans="1:17" ht="27" customHeight="1">
      <c r="A16" s="15">
        <v>45512</v>
      </c>
      <c r="B16" s="58" t="s">
        <v>7</v>
      </c>
      <c r="C16" s="64">
        <v>300</v>
      </c>
      <c r="D16" s="10"/>
      <c r="E16" s="18">
        <f t="shared" si="0"/>
        <v>11560.77</v>
      </c>
      <c r="F16" s="5" t="s">
        <v>15</v>
      </c>
      <c r="G16" s="120"/>
      <c r="H16" s="34" t="s">
        <v>158</v>
      </c>
      <c r="I16" s="34" t="s">
        <v>166</v>
      </c>
      <c r="J16"/>
    </row>
    <row r="17" spans="1:15" ht="27" customHeight="1">
      <c r="A17" s="15">
        <v>45523</v>
      </c>
      <c r="B17" s="58" t="s">
        <v>12</v>
      </c>
      <c r="C17" s="64">
        <v>3000</v>
      </c>
      <c r="D17" s="10"/>
      <c r="E17" s="18">
        <f t="shared" si="0"/>
        <v>8560.77</v>
      </c>
      <c r="F17" s="5" t="s">
        <v>17</v>
      </c>
      <c r="G17" s="120" t="s">
        <v>36</v>
      </c>
      <c r="H17" s="34" t="s">
        <v>145</v>
      </c>
      <c r="I17" s="34" t="s">
        <v>159</v>
      </c>
      <c r="J17"/>
    </row>
    <row r="18" spans="1:15" ht="27" customHeight="1">
      <c r="A18" s="15">
        <v>45523</v>
      </c>
      <c r="B18" s="58" t="s">
        <v>12</v>
      </c>
      <c r="C18" s="64">
        <v>7.06</v>
      </c>
      <c r="D18" s="10"/>
      <c r="E18" s="18">
        <f t="shared" si="0"/>
        <v>8553.7100000000009</v>
      </c>
      <c r="F18" s="5" t="s">
        <v>30</v>
      </c>
      <c r="G18" s="120"/>
      <c r="H18" s="34" t="s">
        <v>145</v>
      </c>
      <c r="I18" s="34" t="s">
        <v>159</v>
      </c>
      <c r="J18"/>
    </row>
    <row r="19" spans="1:15" ht="27" customHeight="1">
      <c r="A19" s="15">
        <v>45595</v>
      </c>
      <c r="B19" s="58" t="s">
        <v>14</v>
      </c>
      <c r="C19" s="64">
        <v>6060</v>
      </c>
      <c r="D19" s="10"/>
      <c r="E19" s="18">
        <f t="shared" si="0"/>
        <v>2493.7100000000009</v>
      </c>
      <c r="F19" s="5" t="s">
        <v>16</v>
      </c>
      <c r="G19" s="120" t="s">
        <v>36</v>
      </c>
      <c r="H19" s="34" t="s">
        <v>145</v>
      </c>
      <c r="I19" s="34" t="s">
        <v>159</v>
      </c>
      <c r="J19"/>
    </row>
    <row r="20" spans="1:15" ht="27" customHeight="1">
      <c r="A20" s="15">
        <v>45595</v>
      </c>
      <c r="B20" s="58" t="s">
        <v>14</v>
      </c>
      <c r="C20" s="64">
        <v>7.08</v>
      </c>
      <c r="D20" s="10"/>
      <c r="E20" s="18">
        <f t="shared" si="0"/>
        <v>2486.630000000001</v>
      </c>
      <c r="F20" s="5" t="s">
        <v>30</v>
      </c>
      <c r="G20" s="120"/>
      <c r="H20" s="34" t="s">
        <v>145</v>
      </c>
      <c r="I20" s="34" t="s">
        <v>159</v>
      </c>
      <c r="J20"/>
    </row>
    <row r="21" spans="1:15" ht="27" customHeight="1">
      <c r="A21" s="15">
        <v>45616</v>
      </c>
      <c r="B21" s="58" t="s">
        <v>6</v>
      </c>
      <c r="C21" s="64"/>
      <c r="D21" s="10">
        <v>12500</v>
      </c>
      <c r="E21" s="18">
        <f t="shared" si="0"/>
        <v>14986.630000000001</v>
      </c>
      <c r="F21" s="5" t="s">
        <v>28</v>
      </c>
      <c r="G21" s="120"/>
      <c r="H21" s="34" t="s">
        <v>158</v>
      </c>
      <c r="I21" s="34"/>
      <c r="J21"/>
    </row>
    <row r="22" spans="1:15" ht="27" customHeight="1">
      <c r="A22" s="15">
        <v>45616</v>
      </c>
      <c r="B22" s="58" t="s">
        <v>7</v>
      </c>
      <c r="C22" s="64">
        <f>+D21*0.03</f>
        <v>375</v>
      </c>
      <c r="D22" s="10"/>
      <c r="E22" s="18">
        <f t="shared" si="0"/>
        <v>14611.630000000001</v>
      </c>
      <c r="F22" s="5" t="s">
        <v>15</v>
      </c>
      <c r="G22" s="120"/>
      <c r="H22" s="34" t="s">
        <v>158</v>
      </c>
      <c r="I22" s="34" t="s">
        <v>166</v>
      </c>
      <c r="J22"/>
    </row>
    <row r="23" spans="1:15" ht="27" customHeight="1">
      <c r="A23" s="15">
        <v>45616</v>
      </c>
      <c r="B23" s="58" t="s">
        <v>29</v>
      </c>
      <c r="C23" s="64">
        <v>10657.76</v>
      </c>
      <c r="D23" s="10"/>
      <c r="E23" s="18">
        <f t="shared" si="0"/>
        <v>3953.8700000000008</v>
      </c>
      <c r="F23" s="5" t="s">
        <v>27</v>
      </c>
      <c r="G23" s="120" t="s">
        <v>37</v>
      </c>
      <c r="H23" s="34" t="s">
        <v>145</v>
      </c>
      <c r="I23" s="34" t="s">
        <v>159</v>
      </c>
      <c r="J23"/>
    </row>
    <row r="24" spans="1:15" ht="27" customHeight="1">
      <c r="A24" s="15">
        <v>45616</v>
      </c>
      <c r="B24" s="58" t="s">
        <v>29</v>
      </c>
      <c r="C24" s="64">
        <f>10672.54-C23</f>
        <v>14.780000000000655</v>
      </c>
      <c r="D24" s="10"/>
      <c r="E24" s="18">
        <f t="shared" si="0"/>
        <v>3939.09</v>
      </c>
      <c r="F24" s="5" t="s">
        <v>30</v>
      </c>
      <c r="G24" s="120"/>
      <c r="H24" s="34" t="s">
        <v>145</v>
      </c>
      <c r="I24" s="34" t="s">
        <v>159</v>
      </c>
      <c r="J24"/>
    </row>
    <row r="25" spans="1:15" ht="27" customHeight="1">
      <c r="A25" s="15">
        <v>45618</v>
      </c>
      <c r="B25" s="58" t="s">
        <v>32</v>
      </c>
      <c r="C25" s="65">
        <v>5200</v>
      </c>
      <c r="D25" s="11"/>
      <c r="E25" s="18">
        <f t="shared" si="0"/>
        <v>-1260.9099999999999</v>
      </c>
      <c r="F25" s="6" t="s">
        <v>168</v>
      </c>
      <c r="G25" s="120" t="s">
        <v>35</v>
      </c>
      <c r="H25" s="34" t="s">
        <v>145</v>
      </c>
      <c r="I25" s="34" t="s">
        <v>159</v>
      </c>
      <c r="J25"/>
    </row>
    <row r="26" spans="1:15" ht="27" customHeight="1">
      <c r="A26" s="15">
        <v>45618</v>
      </c>
      <c r="B26" s="58" t="s">
        <v>32</v>
      </c>
      <c r="C26" s="65">
        <v>14.78</v>
      </c>
      <c r="D26" s="11"/>
      <c r="E26" s="18">
        <f t="shared" si="0"/>
        <v>-1275.6899999999998</v>
      </c>
      <c r="F26" s="5" t="s">
        <v>30</v>
      </c>
      <c r="G26" s="120"/>
      <c r="H26" s="34" t="s">
        <v>145</v>
      </c>
      <c r="I26" s="34" t="s">
        <v>159</v>
      </c>
      <c r="J26"/>
    </row>
    <row r="27" spans="1:15" ht="27" customHeight="1">
      <c r="A27" s="15">
        <v>45625</v>
      </c>
      <c r="B27" s="58" t="s">
        <v>6</v>
      </c>
      <c r="C27" s="65"/>
      <c r="D27" s="11">
        <v>5000</v>
      </c>
      <c r="E27" s="18">
        <f t="shared" si="0"/>
        <v>3724.3100000000004</v>
      </c>
      <c r="F27" s="5" t="s">
        <v>28</v>
      </c>
      <c r="G27" s="120"/>
      <c r="H27" s="34" t="s">
        <v>158</v>
      </c>
      <c r="I27" s="34"/>
      <c r="J27"/>
    </row>
    <row r="28" spans="1:15" ht="27" customHeight="1">
      <c r="A28" s="15">
        <v>45990</v>
      </c>
      <c r="B28" s="58" t="s">
        <v>7</v>
      </c>
      <c r="C28" s="65">
        <v>150</v>
      </c>
      <c r="D28" s="11"/>
      <c r="E28" s="18">
        <f t="shared" si="0"/>
        <v>3574.3100000000004</v>
      </c>
      <c r="F28" s="5" t="s">
        <v>15</v>
      </c>
      <c r="G28" s="120"/>
      <c r="H28" s="34" t="s">
        <v>158</v>
      </c>
      <c r="I28" s="34" t="s">
        <v>166</v>
      </c>
      <c r="J28"/>
    </row>
    <row r="29" spans="1:15" s="2" customFormat="1" ht="27" customHeight="1">
      <c r="A29" s="16">
        <v>45628</v>
      </c>
      <c r="B29" s="59" t="s">
        <v>44</v>
      </c>
      <c r="C29" s="65">
        <v>8000</v>
      </c>
      <c r="D29" s="11"/>
      <c r="E29" s="18">
        <f t="shared" si="0"/>
        <v>-4425.6899999999996</v>
      </c>
      <c r="F29" s="7" t="s">
        <v>40</v>
      </c>
      <c r="G29" s="121" t="s">
        <v>41</v>
      </c>
      <c r="H29" s="113" t="s">
        <v>145</v>
      </c>
      <c r="I29" s="113" t="s">
        <v>159</v>
      </c>
      <c r="J29"/>
      <c r="K29" s="3"/>
      <c r="L29" s="3"/>
      <c r="M29" s="3"/>
      <c r="N29" s="3"/>
      <c r="O29" s="116"/>
    </row>
    <row r="30" spans="1:15" s="2" customFormat="1" ht="27" customHeight="1">
      <c r="A30" s="16">
        <v>45993</v>
      </c>
      <c r="B30" s="59" t="s">
        <v>44</v>
      </c>
      <c r="C30" s="65">
        <v>14.77</v>
      </c>
      <c r="D30" s="11"/>
      <c r="E30" s="18">
        <f t="shared" si="0"/>
        <v>-4440.46</v>
      </c>
      <c r="F30" s="7" t="s">
        <v>30</v>
      </c>
      <c r="G30" s="121"/>
      <c r="H30" s="113" t="s">
        <v>145</v>
      </c>
      <c r="I30" s="113" t="s">
        <v>159</v>
      </c>
      <c r="J30"/>
      <c r="O30" s="116"/>
    </row>
    <row r="31" spans="1:15" s="2" customFormat="1" ht="27" customHeight="1">
      <c r="A31" s="16">
        <v>45652</v>
      </c>
      <c r="B31" s="59" t="s">
        <v>6</v>
      </c>
      <c r="C31" s="65"/>
      <c r="D31" s="11">
        <f>42000/2</f>
        <v>21000</v>
      </c>
      <c r="E31" s="18">
        <f t="shared" si="0"/>
        <v>16559.54</v>
      </c>
      <c r="F31" s="7" t="s">
        <v>28</v>
      </c>
      <c r="G31" s="121"/>
      <c r="H31" s="113" t="s">
        <v>158</v>
      </c>
      <c r="I31" s="113"/>
      <c r="J31"/>
      <c r="O31" s="116"/>
    </row>
    <row r="32" spans="1:15" s="2" customFormat="1" ht="27" customHeight="1">
      <c r="A32" s="16">
        <v>46017</v>
      </c>
      <c r="B32" s="58" t="s">
        <v>7</v>
      </c>
      <c r="C32" s="65">
        <v>630</v>
      </c>
      <c r="D32" s="11"/>
      <c r="E32" s="18">
        <f t="shared" si="0"/>
        <v>15929.54</v>
      </c>
      <c r="F32" s="5" t="s">
        <v>15</v>
      </c>
      <c r="G32" s="121"/>
      <c r="H32" s="113" t="s">
        <v>158</v>
      </c>
      <c r="I32" s="113" t="s">
        <v>166</v>
      </c>
      <c r="J32"/>
      <c r="O32" s="116"/>
    </row>
    <row r="33" spans="1:15" s="2" customFormat="1" ht="27" customHeight="1">
      <c r="A33" s="16">
        <v>45680</v>
      </c>
      <c r="B33" s="59" t="s">
        <v>55</v>
      </c>
      <c r="C33" s="65">
        <v>18525</v>
      </c>
      <c r="D33" s="11"/>
      <c r="E33" s="18">
        <f t="shared" si="0"/>
        <v>-2595.4599999999991</v>
      </c>
      <c r="F33" s="7" t="s">
        <v>46</v>
      </c>
      <c r="G33" s="121" t="s">
        <v>41</v>
      </c>
      <c r="H33" s="113" t="s">
        <v>145</v>
      </c>
      <c r="I33" s="127" t="s">
        <v>159</v>
      </c>
      <c r="J33"/>
      <c r="O33" s="116"/>
    </row>
    <row r="34" spans="1:15" s="2" customFormat="1" ht="27" customHeight="1">
      <c r="A34" s="16">
        <v>45680</v>
      </c>
      <c r="B34" s="59" t="s">
        <v>58</v>
      </c>
      <c r="C34" s="65">
        <v>14.76</v>
      </c>
      <c r="D34" s="11"/>
      <c r="E34" s="18">
        <f t="shared" si="0"/>
        <v>-2610.2199999999993</v>
      </c>
      <c r="F34" s="7" t="s">
        <v>30</v>
      </c>
      <c r="G34" s="121"/>
      <c r="H34" s="113" t="s">
        <v>145</v>
      </c>
      <c r="I34" s="127" t="s">
        <v>166</v>
      </c>
      <c r="J34"/>
      <c r="O34" s="116"/>
    </row>
    <row r="35" spans="1:15" s="2" customFormat="1" ht="27" customHeight="1">
      <c r="A35" s="16">
        <v>45680</v>
      </c>
      <c r="B35" s="59" t="s">
        <v>6</v>
      </c>
      <c r="C35" s="65"/>
      <c r="D35" s="11">
        <v>5000</v>
      </c>
      <c r="E35" s="18">
        <f t="shared" si="0"/>
        <v>2389.7800000000007</v>
      </c>
      <c r="F35" s="7" t="s">
        <v>28</v>
      </c>
      <c r="G35" s="121"/>
      <c r="H35" s="113" t="s">
        <v>158</v>
      </c>
      <c r="I35" s="113"/>
      <c r="J35"/>
      <c r="O35" s="116"/>
    </row>
    <row r="36" spans="1:15" s="2" customFormat="1" ht="27" customHeight="1">
      <c r="A36" s="16">
        <v>45680</v>
      </c>
      <c r="B36" s="58" t="s">
        <v>7</v>
      </c>
      <c r="C36" s="65">
        <v>150</v>
      </c>
      <c r="D36" s="11"/>
      <c r="E36" s="18">
        <f t="shared" si="0"/>
        <v>2239.7800000000007</v>
      </c>
      <c r="F36" s="5" t="s">
        <v>15</v>
      </c>
      <c r="G36" s="121"/>
      <c r="H36" s="113" t="s">
        <v>158</v>
      </c>
      <c r="I36" s="113" t="s">
        <v>166</v>
      </c>
      <c r="J36"/>
      <c r="O36" s="116"/>
    </row>
    <row r="37" spans="1:15" s="2" customFormat="1" ht="27" customHeight="1">
      <c r="A37" s="16">
        <v>45684</v>
      </c>
      <c r="B37" s="59" t="s">
        <v>44</v>
      </c>
      <c r="C37" s="65">
        <v>8613</v>
      </c>
      <c r="D37" s="11"/>
      <c r="E37" s="18">
        <f t="shared" si="0"/>
        <v>-6373.2199999999993</v>
      </c>
      <c r="F37" s="6" t="s">
        <v>57</v>
      </c>
      <c r="G37" s="121" t="s">
        <v>37</v>
      </c>
      <c r="H37" s="113" t="s">
        <v>145</v>
      </c>
      <c r="I37" s="127" t="s">
        <v>159</v>
      </c>
      <c r="J37"/>
      <c r="O37" s="116"/>
    </row>
    <row r="38" spans="1:15" s="2" customFormat="1" ht="27" customHeight="1">
      <c r="A38" s="16">
        <v>45684</v>
      </c>
      <c r="B38" s="59" t="s">
        <v>58</v>
      </c>
      <c r="C38" s="65">
        <v>14.77</v>
      </c>
      <c r="D38" s="11"/>
      <c r="E38" s="18">
        <f t="shared" si="0"/>
        <v>-6387.99</v>
      </c>
      <c r="F38" s="6" t="s">
        <v>30</v>
      </c>
      <c r="G38" s="121"/>
      <c r="H38" s="113" t="s">
        <v>145</v>
      </c>
      <c r="I38" s="127" t="s">
        <v>166</v>
      </c>
      <c r="J38"/>
      <c r="O38" s="116"/>
    </row>
    <row r="39" spans="1:15" s="2" customFormat="1" ht="27" customHeight="1">
      <c r="A39" s="16">
        <v>45714</v>
      </c>
      <c r="B39" s="59" t="s">
        <v>6</v>
      </c>
      <c r="C39" s="65"/>
      <c r="D39" s="11">
        <v>6000</v>
      </c>
      <c r="E39" s="18">
        <f t="shared" si="0"/>
        <v>-387.98999999999978</v>
      </c>
      <c r="F39" s="7" t="s">
        <v>28</v>
      </c>
      <c r="G39" s="121"/>
      <c r="H39" s="113" t="s">
        <v>158</v>
      </c>
      <c r="I39" s="113"/>
      <c r="J39"/>
      <c r="O39" s="116"/>
    </row>
    <row r="40" spans="1:15" s="2" customFormat="1" ht="27" customHeight="1">
      <c r="A40" s="16">
        <v>45714</v>
      </c>
      <c r="B40" s="58" t="s">
        <v>7</v>
      </c>
      <c r="C40" s="65">
        <f>+D39*0.03</f>
        <v>180</v>
      </c>
      <c r="D40" s="11"/>
      <c r="E40" s="18">
        <f t="shared" si="0"/>
        <v>-567.98999999999978</v>
      </c>
      <c r="F40" s="5" t="s">
        <v>15</v>
      </c>
      <c r="G40" s="121"/>
      <c r="H40" s="113" t="s">
        <v>158</v>
      </c>
      <c r="I40" s="113" t="s">
        <v>166</v>
      </c>
      <c r="J40"/>
      <c r="O40" s="116"/>
    </row>
    <row r="41" spans="1:15" s="2" customFormat="1" ht="27" customHeight="1">
      <c r="A41" s="16">
        <v>45716</v>
      </c>
      <c r="B41" s="59" t="s">
        <v>55</v>
      </c>
      <c r="C41" s="65">
        <v>12113.36</v>
      </c>
      <c r="D41" s="11"/>
      <c r="E41" s="18">
        <f t="shared" si="0"/>
        <v>-12681.35</v>
      </c>
      <c r="F41" s="6" t="s">
        <v>45</v>
      </c>
      <c r="G41" s="121" t="s">
        <v>35</v>
      </c>
      <c r="H41" s="113" t="s">
        <v>145</v>
      </c>
      <c r="I41" s="127" t="s">
        <v>159</v>
      </c>
      <c r="J41"/>
      <c r="O41" s="116"/>
    </row>
    <row r="42" spans="1:15" s="2" customFormat="1" ht="27" customHeight="1">
      <c r="A42" s="16">
        <v>45716</v>
      </c>
      <c r="B42" s="59" t="s">
        <v>58</v>
      </c>
      <c r="C42" s="65">
        <f>12128.15-C41</f>
        <v>14.789999999999054</v>
      </c>
      <c r="D42" s="11"/>
      <c r="E42" s="18">
        <f t="shared" si="0"/>
        <v>-12696.14</v>
      </c>
      <c r="F42" s="6" t="s">
        <v>30</v>
      </c>
      <c r="G42" s="121"/>
      <c r="H42" s="113" t="s">
        <v>145</v>
      </c>
      <c r="I42" s="113" t="s">
        <v>166</v>
      </c>
      <c r="J42"/>
      <c r="O42" s="116"/>
    </row>
    <row r="43" spans="1:15" s="2" customFormat="1" ht="27" customHeight="1">
      <c r="A43" s="16">
        <v>45754</v>
      </c>
      <c r="B43" s="59" t="s">
        <v>64</v>
      </c>
      <c r="C43" s="65"/>
      <c r="D43" s="19">
        <v>9423.6200000000008</v>
      </c>
      <c r="E43" s="18">
        <f t="shared" si="0"/>
        <v>-3272.5199999999986</v>
      </c>
      <c r="F43" s="7" t="s">
        <v>65</v>
      </c>
      <c r="G43" s="121" t="s">
        <v>36</v>
      </c>
      <c r="H43" s="113" t="s">
        <v>145</v>
      </c>
      <c r="I43" s="127"/>
      <c r="J43"/>
      <c r="O43" s="116"/>
    </row>
    <row r="44" spans="1:15" s="2" customFormat="1" ht="27" customHeight="1">
      <c r="A44" s="16">
        <v>45756</v>
      </c>
      <c r="B44" s="59" t="s">
        <v>51</v>
      </c>
      <c r="C44" s="65">
        <f>+D43*0.05</f>
        <v>471.18100000000004</v>
      </c>
      <c r="D44" s="11"/>
      <c r="E44" s="18">
        <f t="shared" si="0"/>
        <v>-3743.7009999999987</v>
      </c>
      <c r="F44" s="6" t="s">
        <v>68</v>
      </c>
      <c r="G44" s="122"/>
      <c r="H44" s="128" t="s">
        <v>145</v>
      </c>
      <c r="I44" s="127" t="s">
        <v>166</v>
      </c>
      <c r="J44"/>
      <c r="O44" s="116"/>
    </row>
    <row r="45" spans="1:15" s="2" customFormat="1" ht="27" customHeight="1">
      <c r="A45" s="16">
        <v>45783</v>
      </c>
      <c r="B45" s="59" t="s">
        <v>73</v>
      </c>
      <c r="C45" s="65"/>
      <c r="D45" s="14">
        <v>26452.799999999999</v>
      </c>
      <c r="E45" s="18">
        <f t="shared" si="0"/>
        <v>22709.099000000002</v>
      </c>
      <c r="F45" s="7" t="s">
        <v>72</v>
      </c>
      <c r="G45" s="122" t="s">
        <v>41</v>
      </c>
      <c r="H45" s="128" t="s">
        <v>145</v>
      </c>
      <c r="I45" s="127"/>
      <c r="J45"/>
      <c r="O45" s="116"/>
    </row>
    <row r="46" spans="1:15" s="2" customFormat="1" ht="27" customHeight="1">
      <c r="A46" s="16">
        <v>45783</v>
      </c>
      <c r="B46" s="59" t="s">
        <v>51</v>
      </c>
      <c r="C46" s="66">
        <f>+D45*0.05</f>
        <v>1322.64</v>
      </c>
      <c r="D46" s="11"/>
      <c r="E46" s="18">
        <f t="shared" si="0"/>
        <v>21386.459000000003</v>
      </c>
      <c r="F46" s="6" t="s">
        <v>76</v>
      </c>
      <c r="G46" s="122"/>
      <c r="H46" s="128" t="s">
        <v>145</v>
      </c>
      <c r="I46" s="127" t="s">
        <v>166</v>
      </c>
      <c r="J46"/>
      <c r="O46" s="116"/>
    </row>
    <row r="47" spans="1:15" s="2" customFormat="1" ht="27" customHeight="1">
      <c r="A47" s="16">
        <v>45791</v>
      </c>
      <c r="B47" s="59" t="s">
        <v>55</v>
      </c>
      <c r="C47" s="65">
        <v>7300</v>
      </c>
      <c r="D47" s="11"/>
      <c r="E47" s="18">
        <f t="shared" si="0"/>
        <v>14086.459000000003</v>
      </c>
      <c r="F47" s="6" t="s">
        <v>77</v>
      </c>
      <c r="G47" s="122"/>
      <c r="H47" s="128" t="s">
        <v>145</v>
      </c>
      <c r="I47" s="127" t="s">
        <v>159</v>
      </c>
      <c r="J47"/>
      <c r="O47" s="116"/>
    </row>
    <row r="48" spans="1:15" s="2" customFormat="1" ht="27" customHeight="1">
      <c r="A48" s="16">
        <v>45791</v>
      </c>
      <c r="B48" s="59" t="s">
        <v>58</v>
      </c>
      <c r="C48" s="65">
        <v>14.75</v>
      </c>
      <c r="D48" s="11"/>
      <c r="E48" s="18">
        <f t="shared" si="0"/>
        <v>14071.709000000003</v>
      </c>
      <c r="F48" s="6" t="s">
        <v>30</v>
      </c>
      <c r="G48" s="121"/>
      <c r="H48" s="128" t="s">
        <v>145</v>
      </c>
      <c r="I48" s="113" t="s">
        <v>166</v>
      </c>
      <c r="J48"/>
      <c r="O48" s="116"/>
    </row>
    <row r="49" spans="1:15" s="2" customFormat="1" ht="27" customHeight="1">
      <c r="A49" s="16">
        <v>45803</v>
      </c>
      <c r="B49" s="59" t="s">
        <v>81</v>
      </c>
      <c r="C49" s="65"/>
      <c r="D49" s="14">
        <f>17213.06+0.08</f>
        <v>17213.140000000003</v>
      </c>
      <c r="E49" s="18">
        <f t="shared" si="0"/>
        <v>31284.849000000006</v>
      </c>
      <c r="F49" s="7" t="s">
        <v>83</v>
      </c>
      <c r="G49" s="121" t="s">
        <v>35</v>
      </c>
      <c r="H49" s="128" t="s">
        <v>145</v>
      </c>
      <c r="I49" s="113"/>
      <c r="J49"/>
      <c r="O49" s="116"/>
    </row>
    <row r="50" spans="1:15" s="2" customFormat="1" ht="27" customHeight="1">
      <c r="A50" s="16"/>
      <c r="B50" s="59" t="s">
        <v>51</v>
      </c>
      <c r="C50" s="66">
        <f>+D49*0.05</f>
        <v>860.65700000000015</v>
      </c>
      <c r="D50" s="19"/>
      <c r="E50" s="18">
        <f t="shared" si="0"/>
        <v>30424.192000000006</v>
      </c>
      <c r="F50" s="6" t="s">
        <v>85</v>
      </c>
      <c r="G50" s="121"/>
      <c r="H50" s="128" t="s">
        <v>145</v>
      </c>
      <c r="I50" s="113" t="s">
        <v>166</v>
      </c>
      <c r="J50"/>
      <c r="O50" s="116"/>
    </row>
    <row r="51" spans="1:15" ht="27" customHeight="1">
      <c r="A51" s="15">
        <v>45838</v>
      </c>
      <c r="B51" s="58" t="s">
        <v>71</v>
      </c>
      <c r="C51" s="64"/>
      <c r="D51" s="18">
        <v>17507.759999999998</v>
      </c>
      <c r="E51" s="18">
        <f t="shared" si="0"/>
        <v>47931.952000000005</v>
      </c>
      <c r="F51" s="7" t="s">
        <v>84</v>
      </c>
      <c r="G51" s="120" t="s">
        <v>37</v>
      </c>
      <c r="H51" s="129" t="s">
        <v>145</v>
      </c>
      <c r="I51" s="130"/>
      <c r="J51"/>
      <c r="K51" s="2"/>
      <c r="L51" s="2"/>
      <c r="M51" s="2"/>
      <c r="N51" s="2"/>
    </row>
    <row r="52" spans="1:15" ht="27" customHeight="1">
      <c r="A52" s="15">
        <v>45838</v>
      </c>
      <c r="B52" s="58" t="s">
        <v>58</v>
      </c>
      <c r="C52" s="64">
        <v>14.29</v>
      </c>
      <c r="D52" s="18"/>
      <c r="E52" s="18">
        <f t="shared" si="0"/>
        <v>47917.662000000004</v>
      </c>
      <c r="F52" s="7" t="s">
        <v>30</v>
      </c>
      <c r="G52" s="120" t="s">
        <v>37</v>
      </c>
      <c r="H52" s="129" t="s">
        <v>145</v>
      </c>
      <c r="I52" s="130" t="s">
        <v>166</v>
      </c>
      <c r="J52"/>
    </row>
    <row r="53" spans="1:15" ht="27" customHeight="1">
      <c r="A53" s="15">
        <v>45838</v>
      </c>
      <c r="B53" s="59" t="s">
        <v>51</v>
      </c>
      <c r="C53" s="64">
        <f>+(D51-C52)*5%</f>
        <v>874.67349999999988</v>
      </c>
      <c r="D53" s="10"/>
      <c r="E53" s="18">
        <f t="shared" si="0"/>
        <v>47042.988500000007</v>
      </c>
      <c r="F53" s="6" t="s">
        <v>86</v>
      </c>
      <c r="G53" s="120" t="s">
        <v>37</v>
      </c>
      <c r="H53" s="129" t="s">
        <v>145</v>
      </c>
      <c r="I53" s="34" t="s">
        <v>166</v>
      </c>
      <c r="J53"/>
    </row>
    <row r="54" spans="1:15" ht="27" customHeight="1">
      <c r="A54" s="15">
        <v>45841</v>
      </c>
      <c r="B54" s="59" t="s">
        <v>55</v>
      </c>
      <c r="C54" s="64">
        <v>20148.36</v>
      </c>
      <c r="D54" s="10"/>
      <c r="E54" s="18">
        <f t="shared" si="0"/>
        <v>26894.628500000006</v>
      </c>
      <c r="F54" s="6" t="s">
        <v>87</v>
      </c>
      <c r="G54" s="120" t="s">
        <v>37</v>
      </c>
      <c r="H54" s="129" t="s">
        <v>145</v>
      </c>
      <c r="I54" s="127" t="s">
        <v>159</v>
      </c>
      <c r="J54"/>
    </row>
    <row r="55" spans="1:15" ht="27" customHeight="1">
      <c r="A55" s="15">
        <v>45841</v>
      </c>
      <c r="B55" s="59" t="s">
        <v>58</v>
      </c>
      <c r="C55" s="64">
        <v>14.64</v>
      </c>
      <c r="D55" s="10"/>
      <c r="E55" s="18">
        <f t="shared" si="0"/>
        <v>26879.988500000007</v>
      </c>
      <c r="F55" s="6" t="s">
        <v>30</v>
      </c>
      <c r="G55" s="120" t="s">
        <v>37</v>
      </c>
      <c r="H55" s="129" t="s">
        <v>145</v>
      </c>
      <c r="I55" s="34" t="s">
        <v>166</v>
      </c>
      <c r="J55"/>
    </row>
    <row r="56" spans="1:15" ht="27" customHeight="1">
      <c r="A56" s="82">
        <v>45855</v>
      </c>
      <c r="B56" s="5" t="s">
        <v>50</v>
      </c>
      <c r="C56" s="18">
        <v>2200</v>
      </c>
      <c r="D56" s="10"/>
      <c r="E56" s="18">
        <f t="shared" si="0"/>
        <v>24679.988500000007</v>
      </c>
      <c r="F56" s="5" t="s">
        <v>113</v>
      </c>
      <c r="G56" s="120" t="s">
        <v>36</v>
      </c>
      <c r="H56" s="129" t="s">
        <v>145</v>
      </c>
      <c r="I56" s="34" t="s">
        <v>159</v>
      </c>
      <c r="J56"/>
      <c r="L56" s="20"/>
      <c r="M56" s="20"/>
    </row>
    <row r="57" spans="1:15" ht="27" customHeight="1">
      <c r="A57" s="82">
        <v>45852</v>
      </c>
      <c r="B57" s="5" t="s">
        <v>58</v>
      </c>
      <c r="C57" s="18">
        <v>7</v>
      </c>
      <c r="D57" s="18"/>
      <c r="E57" s="18">
        <f t="shared" si="0"/>
        <v>24672.988500000007</v>
      </c>
      <c r="F57" s="7" t="s">
        <v>30</v>
      </c>
      <c r="G57" s="120" t="s">
        <v>36</v>
      </c>
      <c r="H57" s="129" t="s">
        <v>145</v>
      </c>
      <c r="I57" s="34" t="s">
        <v>166</v>
      </c>
      <c r="J57"/>
      <c r="L57" s="20"/>
      <c r="M57" s="20"/>
    </row>
    <row r="58" spans="1:15" ht="27" customHeight="1">
      <c r="A58" s="82">
        <v>45891</v>
      </c>
      <c r="B58" s="5" t="s">
        <v>50</v>
      </c>
      <c r="C58" s="83">
        <v>10500</v>
      </c>
      <c r="D58" s="50"/>
      <c r="E58" s="18">
        <f t="shared" si="0"/>
        <v>14172.988500000007</v>
      </c>
      <c r="F58" s="5" t="s">
        <v>137</v>
      </c>
      <c r="G58" s="120" t="s">
        <v>37</v>
      </c>
      <c r="H58" s="129" t="s">
        <v>145</v>
      </c>
      <c r="I58" s="34" t="s">
        <v>159</v>
      </c>
      <c r="J58"/>
      <c r="L58" s="20"/>
      <c r="M58" s="20"/>
    </row>
    <row r="59" spans="1:15" ht="27" customHeight="1">
      <c r="A59" s="82">
        <v>45891</v>
      </c>
      <c r="B59" s="5" t="s">
        <v>50</v>
      </c>
      <c r="C59" s="83">
        <v>10500</v>
      </c>
      <c r="D59" s="50"/>
      <c r="E59" s="18">
        <f t="shared" si="0"/>
        <v>3672.9885000000068</v>
      </c>
      <c r="F59" s="5" t="s">
        <v>138</v>
      </c>
      <c r="G59" s="120" t="s">
        <v>37</v>
      </c>
      <c r="H59" s="129" t="s">
        <v>145</v>
      </c>
      <c r="I59" s="34" t="s">
        <v>159</v>
      </c>
      <c r="J59"/>
      <c r="L59" s="20"/>
      <c r="M59" s="20"/>
    </row>
    <row r="60" spans="1:15" s="2" customFormat="1" ht="27" customHeight="1">
      <c r="A60" s="57">
        <v>45891</v>
      </c>
      <c r="B60" s="6" t="s">
        <v>58</v>
      </c>
      <c r="C60" s="19">
        <v>62.05</v>
      </c>
      <c r="D60" s="81"/>
      <c r="E60" s="18">
        <f t="shared" si="0"/>
        <v>3610.9385000000066</v>
      </c>
      <c r="F60" s="6" t="s">
        <v>30</v>
      </c>
      <c r="G60" s="120" t="s">
        <v>37</v>
      </c>
      <c r="H60" s="129" t="s">
        <v>145</v>
      </c>
      <c r="I60" s="113" t="s">
        <v>166</v>
      </c>
      <c r="J60"/>
      <c r="K60" s="3"/>
      <c r="L60" s="20"/>
      <c r="M60" s="20"/>
      <c r="N60" s="3"/>
      <c r="O60" s="116"/>
    </row>
    <row r="61" spans="1:15" ht="27" customHeight="1">
      <c r="A61" s="82">
        <v>45908</v>
      </c>
      <c r="B61" s="6" t="s">
        <v>50</v>
      </c>
      <c r="C61" s="19">
        <v>900</v>
      </c>
      <c r="D61" s="50"/>
      <c r="E61" s="18">
        <f t="shared" si="0"/>
        <v>2710.9385000000066</v>
      </c>
      <c r="F61" s="6" t="s">
        <v>143</v>
      </c>
      <c r="G61" s="120" t="s">
        <v>36</v>
      </c>
      <c r="H61" s="129" t="s">
        <v>145</v>
      </c>
      <c r="I61" s="34" t="s">
        <v>159</v>
      </c>
      <c r="J61"/>
    </row>
    <row r="62" spans="1:15" ht="27" customHeight="1">
      <c r="A62" s="82">
        <v>45930</v>
      </c>
      <c r="B62" s="6" t="s">
        <v>55</v>
      </c>
      <c r="C62" s="19">
        <v>2100</v>
      </c>
      <c r="D62" s="50"/>
      <c r="E62" s="18">
        <f t="shared" si="0"/>
        <v>610.93850000000657</v>
      </c>
      <c r="F62" s="6" t="s">
        <v>142</v>
      </c>
      <c r="G62" s="120" t="s">
        <v>36</v>
      </c>
      <c r="H62" s="129" t="s">
        <v>145</v>
      </c>
      <c r="I62" s="127" t="s">
        <v>159</v>
      </c>
      <c r="J62"/>
      <c r="L62" s="20"/>
      <c r="M62" s="20"/>
    </row>
    <row r="63" spans="1:15" ht="27" customHeight="1">
      <c r="A63" s="82">
        <v>45930</v>
      </c>
      <c r="B63" s="6" t="s">
        <v>58</v>
      </c>
      <c r="C63" s="111">
        <v>12.69</v>
      </c>
      <c r="D63" s="140"/>
      <c r="E63" s="18">
        <f t="shared" si="0"/>
        <v>598.24850000000652</v>
      </c>
      <c r="F63" s="6" t="s">
        <v>30</v>
      </c>
      <c r="G63" s="120" t="s">
        <v>36</v>
      </c>
      <c r="H63" s="129" t="s">
        <v>145</v>
      </c>
      <c r="I63" s="34" t="s">
        <v>166</v>
      </c>
      <c r="J63"/>
      <c r="L63" s="20"/>
      <c r="M63" s="20"/>
    </row>
    <row r="64" spans="1:15" s="2" customFormat="1" ht="27" customHeight="1">
      <c r="A64" s="57">
        <v>45951</v>
      </c>
      <c r="B64" s="6" t="s">
        <v>55</v>
      </c>
      <c r="C64" s="111">
        <v>12531.92</v>
      </c>
      <c r="D64" s="141"/>
      <c r="E64" s="18">
        <f t="shared" si="0"/>
        <v>-11933.671499999993</v>
      </c>
      <c r="F64" s="6" t="s">
        <v>134</v>
      </c>
      <c r="G64" s="121" t="s">
        <v>37</v>
      </c>
      <c r="H64" s="129" t="s">
        <v>145</v>
      </c>
      <c r="I64" s="127" t="s">
        <v>159</v>
      </c>
      <c r="J64"/>
      <c r="K64" s="3"/>
      <c r="L64" s="3"/>
      <c r="M64" s="3"/>
      <c r="N64" s="3"/>
      <c r="O64" s="116"/>
    </row>
    <row r="65" spans="1:18" ht="27" customHeight="1">
      <c r="A65" s="57">
        <v>45951</v>
      </c>
      <c r="B65" s="19" t="s">
        <v>58</v>
      </c>
      <c r="C65" s="111">
        <v>14.81</v>
      </c>
      <c r="D65" s="111"/>
      <c r="E65" s="18">
        <f t="shared" si="0"/>
        <v>-11948.481499999993</v>
      </c>
      <c r="F65" s="19" t="s">
        <v>30</v>
      </c>
      <c r="G65" s="123" t="s">
        <v>37</v>
      </c>
      <c r="H65" s="129" t="s">
        <v>145</v>
      </c>
      <c r="I65" s="34" t="s">
        <v>166</v>
      </c>
      <c r="J65"/>
      <c r="K65" s="2"/>
      <c r="L65" s="2"/>
      <c r="M65" s="2"/>
      <c r="N65" s="2"/>
      <c r="R65" s="101"/>
    </row>
    <row r="66" spans="1:18" s="2" customFormat="1" ht="27" customHeight="1">
      <c r="A66" s="57">
        <v>45960</v>
      </c>
      <c r="B66" s="19" t="s">
        <v>151</v>
      </c>
      <c r="C66" s="111">
        <v>4681.1499999999996</v>
      </c>
      <c r="D66" s="141"/>
      <c r="E66" s="18">
        <f t="shared" si="0"/>
        <v>-16629.631499999992</v>
      </c>
      <c r="F66" s="19" t="s">
        <v>154</v>
      </c>
      <c r="G66" s="123" t="s">
        <v>41</v>
      </c>
      <c r="H66" s="129" t="s">
        <v>145</v>
      </c>
      <c r="I66" s="113" t="s">
        <v>159</v>
      </c>
      <c r="J66"/>
      <c r="K66" s="3"/>
      <c r="L66" s="20"/>
      <c r="M66" s="20"/>
      <c r="O66" s="116"/>
    </row>
    <row r="67" spans="1:18" s="2" customFormat="1" ht="27" customHeight="1">
      <c r="A67" s="57">
        <v>45960</v>
      </c>
      <c r="B67" s="19" t="s">
        <v>58</v>
      </c>
      <c r="C67" s="111">
        <f>4695.8-C66</f>
        <v>14.650000000000546</v>
      </c>
      <c r="D67" s="141"/>
      <c r="E67" s="18">
        <f t="shared" si="0"/>
        <v>-16644.281499999994</v>
      </c>
      <c r="F67" s="19" t="s">
        <v>30</v>
      </c>
      <c r="G67" s="123" t="s">
        <v>41</v>
      </c>
      <c r="H67" s="129" t="s">
        <v>145</v>
      </c>
      <c r="I67" s="113" t="s">
        <v>159</v>
      </c>
      <c r="J67"/>
      <c r="K67" s="3"/>
      <c r="L67" s="20"/>
      <c r="M67" s="20"/>
      <c r="O67" s="116"/>
    </row>
    <row r="68" spans="1:18" s="2" customFormat="1" ht="27" customHeight="1">
      <c r="A68" s="57">
        <v>45980</v>
      </c>
      <c r="B68" s="19" t="s">
        <v>157</v>
      </c>
      <c r="C68" s="111"/>
      <c r="D68" s="111">
        <v>10380.959999999999</v>
      </c>
      <c r="E68" s="18">
        <f t="shared" si="0"/>
        <v>-6263.3214999999946</v>
      </c>
      <c r="F68" s="6"/>
      <c r="G68" s="123" t="s">
        <v>37</v>
      </c>
      <c r="H68" s="113" t="s">
        <v>145</v>
      </c>
      <c r="I68" s="113"/>
      <c r="J68" s="133"/>
      <c r="O68" s="116"/>
    </row>
    <row r="69" spans="1:18" s="2" customFormat="1" ht="27" customHeight="1">
      <c r="A69" s="57">
        <v>45980</v>
      </c>
      <c r="B69" s="19" t="s">
        <v>58</v>
      </c>
      <c r="C69" s="111">
        <v>14.340000000000146</v>
      </c>
      <c r="D69" s="111"/>
      <c r="E69" s="18">
        <f t="shared" si="0"/>
        <v>-6277.6614999999947</v>
      </c>
      <c r="F69" s="6"/>
      <c r="G69" s="123" t="s">
        <v>97</v>
      </c>
      <c r="H69" s="113" t="s">
        <v>145</v>
      </c>
      <c r="I69" s="113" t="s">
        <v>166</v>
      </c>
      <c r="J69" s="133"/>
      <c r="L69" s="134"/>
      <c r="M69" s="134"/>
      <c r="O69" s="116"/>
    </row>
    <row r="70" spans="1:18" s="2" customFormat="1" ht="27" customHeight="1">
      <c r="A70" s="57">
        <v>45980</v>
      </c>
      <c r="B70" s="19" t="s">
        <v>51</v>
      </c>
      <c r="C70" s="111">
        <f>+(D68-C69)*0.04</f>
        <v>414.66479999999996</v>
      </c>
      <c r="D70" s="111"/>
      <c r="E70" s="18">
        <f t="shared" si="0"/>
        <v>-6692.3262999999943</v>
      </c>
      <c r="F70" s="135">
        <v>0.04</v>
      </c>
      <c r="G70" s="123"/>
      <c r="H70" s="113" t="s">
        <v>145</v>
      </c>
      <c r="I70" s="113" t="s">
        <v>166</v>
      </c>
      <c r="J70" s="133"/>
      <c r="L70" s="134"/>
      <c r="M70" s="134"/>
      <c r="O70" s="116"/>
    </row>
    <row r="71" spans="1:18" s="2" customFormat="1" ht="27" customHeight="1">
      <c r="A71" s="57">
        <v>45996</v>
      </c>
      <c r="B71" s="111" t="s">
        <v>55</v>
      </c>
      <c r="C71" s="111">
        <v>10922.69</v>
      </c>
      <c r="D71" s="111"/>
      <c r="E71" s="136">
        <f t="shared" si="0"/>
        <v>-17615.016299999996</v>
      </c>
      <c r="F71" s="137" t="s">
        <v>156</v>
      </c>
      <c r="G71" s="138" t="s">
        <v>155</v>
      </c>
      <c r="H71" s="113" t="s">
        <v>145</v>
      </c>
      <c r="I71" s="113" t="s">
        <v>159</v>
      </c>
      <c r="J71" s="133"/>
      <c r="L71" s="134"/>
      <c r="M71" s="134"/>
      <c r="O71" s="139"/>
    </row>
    <row r="72" spans="1:18" s="267" customFormat="1" ht="27" customHeight="1">
      <c r="A72" s="261">
        <v>45996</v>
      </c>
      <c r="B72" s="262" t="s">
        <v>58</v>
      </c>
      <c r="C72" s="262">
        <v>14.340000000000146</v>
      </c>
      <c r="D72" s="262"/>
      <c r="E72" s="262">
        <f t="shared" si="0"/>
        <v>-17629.356299999996</v>
      </c>
      <c r="F72" s="263"/>
      <c r="G72" s="264" t="s">
        <v>97</v>
      </c>
      <c r="H72" s="265" t="s">
        <v>145</v>
      </c>
      <c r="I72" s="265" t="s">
        <v>166</v>
      </c>
      <c r="J72" s="266"/>
      <c r="L72" s="268"/>
      <c r="M72" s="268"/>
      <c r="O72" s="269"/>
    </row>
    <row r="73" spans="1:18" s="267" customFormat="1" ht="27" customHeight="1">
      <c r="A73" s="261">
        <v>45996</v>
      </c>
      <c r="B73" s="262" t="s">
        <v>51</v>
      </c>
      <c r="C73" s="262">
        <f>+(D80+C72)*0.05</f>
        <v>338.71700000000004</v>
      </c>
      <c r="D73" s="262"/>
      <c r="E73" s="262">
        <f t="shared" si="0"/>
        <v>-17968.073299999996</v>
      </c>
      <c r="F73" s="270">
        <v>0.05</v>
      </c>
      <c r="G73" s="264"/>
      <c r="H73" s="265" t="s">
        <v>145</v>
      </c>
      <c r="I73" s="265" t="s">
        <v>166</v>
      </c>
      <c r="J73" s="266"/>
      <c r="L73" s="268"/>
      <c r="M73" s="268"/>
      <c r="O73" s="269"/>
    </row>
    <row r="74" spans="1:18" s="267" customFormat="1" ht="27" customHeight="1">
      <c r="A74" s="261">
        <v>46006</v>
      </c>
      <c r="B74" s="262" t="s">
        <v>169</v>
      </c>
      <c r="C74" s="262"/>
      <c r="D74" s="262">
        <v>24222.239999999998</v>
      </c>
      <c r="E74" s="262">
        <f t="shared" ref="E74:E80" si="1">+E73+D74-C74</f>
        <v>6254.1667000000016</v>
      </c>
      <c r="F74" s="263"/>
      <c r="G74" s="264" t="s">
        <v>37</v>
      </c>
      <c r="H74" s="265" t="s">
        <v>145</v>
      </c>
      <c r="I74" s="265"/>
      <c r="J74" s="266"/>
      <c r="O74" s="269"/>
    </row>
    <row r="75" spans="1:18" s="267" customFormat="1" ht="27" customHeight="1">
      <c r="A75" s="261">
        <v>46006</v>
      </c>
      <c r="B75" s="262" t="s">
        <v>58</v>
      </c>
      <c r="C75" s="262">
        <v>14.340000000000146</v>
      </c>
      <c r="D75" s="262"/>
      <c r="E75" s="262">
        <f t="shared" si="1"/>
        <v>6239.8267000000014</v>
      </c>
      <c r="F75" s="263"/>
      <c r="G75" s="264" t="s">
        <v>97</v>
      </c>
      <c r="H75" s="265" t="s">
        <v>145</v>
      </c>
      <c r="I75" s="265" t="s">
        <v>166</v>
      </c>
      <c r="J75" s="266"/>
      <c r="L75" s="268"/>
      <c r="M75" s="268"/>
      <c r="O75" s="269"/>
    </row>
    <row r="76" spans="1:18" s="267" customFormat="1" ht="27" customHeight="1">
      <c r="A76" s="261">
        <v>46006</v>
      </c>
      <c r="B76" s="262" t="s">
        <v>51</v>
      </c>
      <c r="C76" s="262">
        <f>+(D74-C75)*0.04</f>
        <v>968.31599999999992</v>
      </c>
      <c r="D76" s="262"/>
      <c r="E76" s="262">
        <f t="shared" si="1"/>
        <v>5271.5107000000016</v>
      </c>
      <c r="F76" s="270">
        <v>0.04</v>
      </c>
      <c r="G76" s="264"/>
      <c r="H76" s="265" t="s">
        <v>145</v>
      </c>
      <c r="I76" s="265" t="s">
        <v>166</v>
      </c>
      <c r="J76" s="266"/>
      <c r="L76" s="268"/>
      <c r="M76" s="268"/>
      <c r="O76" s="269"/>
    </row>
    <row r="77" spans="1:18" ht="27" customHeight="1">
      <c r="A77" s="57">
        <v>46037</v>
      </c>
      <c r="B77" s="48" t="s">
        <v>171</v>
      </c>
      <c r="C77" s="48">
        <v>5271.51</v>
      </c>
      <c r="D77" s="48"/>
      <c r="E77" s="18">
        <f t="shared" si="1"/>
        <v>7.0000000141590135E-4</v>
      </c>
      <c r="F77" s="107"/>
      <c r="G77" s="124"/>
      <c r="H77" s="34"/>
      <c r="I77" s="34"/>
      <c r="J77"/>
      <c r="L77" s="20"/>
      <c r="M77" s="20"/>
      <c r="N77" s="2"/>
    </row>
    <row r="78" spans="1:18" ht="27" customHeight="1">
      <c r="A78" s="57">
        <v>46037</v>
      </c>
      <c r="B78" s="48" t="s">
        <v>170</v>
      </c>
      <c r="C78" s="48"/>
      <c r="D78" s="48">
        <v>15603.84</v>
      </c>
      <c r="E78" s="18">
        <f t="shared" si="1"/>
        <v>15603.840700000001</v>
      </c>
      <c r="F78" s="107"/>
      <c r="G78" s="124" t="s">
        <v>97</v>
      </c>
      <c r="H78" s="34" t="s">
        <v>145</v>
      </c>
      <c r="I78" s="34"/>
      <c r="J78"/>
      <c r="L78" s="20"/>
      <c r="M78" s="20"/>
      <c r="N78" s="2"/>
    </row>
    <row r="79" spans="1:18" ht="25.9" customHeight="1">
      <c r="A79" s="57">
        <v>46037</v>
      </c>
      <c r="B79" s="48" t="s">
        <v>55</v>
      </c>
      <c r="C79" s="48">
        <f>7000-2200-2940</f>
        <v>1860</v>
      </c>
      <c r="D79" s="48"/>
      <c r="E79" s="18">
        <f t="shared" si="1"/>
        <v>13743.840700000001</v>
      </c>
      <c r="F79" s="48" t="s">
        <v>141</v>
      </c>
      <c r="G79" s="124" t="s">
        <v>114</v>
      </c>
      <c r="H79" s="34" t="s">
        <v>145</v>
      </c>
      <c r="I79" s="127" t="s">
        <v>159</v>
      </c>
      <c r="J79"/>
      <c r="L79" s="20"/>
      <c r="M79" s="20"/>
    </row>
    <row r="80" spans="1:18" s="2" customFormat="1" ht="27" customHeight="1">
      <c r="A80" s="57">
        <v>46037</v>
      </c>
      <c r="B80" s="48" t="s">
        <v>64</v>
      </c>
      <c r="C80" s="48"/>
      <c r="D80" s="106">
        <v>6760</v>
      </c>
      <c r="E80" s="18">
        <f t="shared" si="1"/>
        <v>20503.840700000001</v>
      </c>
      <c r="F80" s="6"/>
      <c r="G80" s="124" t="s">
        <v>97</v>
      </c>
      <c r="H80" s="113" t="s">
        <v>145</v>
      </c>
      <c r="I80" s="113"/>
      <c r="J80"/>
      <c r="K80" s="3"/>
      <c r="L80" s="3"/>
      <c r="M80" s="3"/>
      <c r="N80" s="3"/>
      <c r="O80" s="116"/>
    </row>
    <row r="81" spans="1:15" ht="27" customHeight="1">
      <c r="A81" s="103"/>
      <c r="B81" s="104"/>
      <c r="C81" s="104"/>
      <c r="D81" s="105"/>
      <c r="E81" s="109"/>
      <c r="F81" s="104"/>
      <c r="G81" s="104"/>
      <c r="J81"/>
      <c r="L81" s="20"/>
      <c r="M81" s="20"/>
    </row>
    <row r="82" spans="1:15" customFormat="1" ht="27" customHeight="1">
      <c r="E82" s="110"/>
      <c r="H82" s="27"/>
      <c r="K82" s="3"/>
      <c r="L82" s="3"/>
      <c r="M82" s="3"/>
      <c r="N82" s="3"/>
      <c r="O82" s="37"/>
    </row>
    <row r="83" spans="1:15" ht="27" customHeight="1">
      <c r="A83" s="304" t="s">
        <v>79</v>
      </c>
      <c r="B83" s="304"/>
      <c r="C83" s="304"/>
      <c r="D83" s="304"/>
      <c r="E83" s="304"/>
      <c r="F83" s="304"/>
      <c r="G83" s="304"/>
      <c r="J83"/>
      <c r="K83"/>
      <c r="L83"/>
      <c r="M83"/>
      <c r="N83"/>
    </row>
    <row r="84" spans="1:15" ht="27" customHeight="1">
      <c r="D84" s="13"/>
      <c r="J84"/>
    </row>
    <row r="85" spans="1:15" ht="27" customHeight="1">
      <c r="A85" s="304" t="s">
        <v>118</v>
      </c>
      <c r="B85" s="304"/>
      <c r="C85" s="304"/>
      <c r="D85" s="304"/>
      <c r="E85" s="304"/>
      <c r="F85" s="304"/>
      <c r="G85" s="304"/>
      <c r="J85"/>
    </row>
    <row r="86" spans="1:15" ht="27" customHeight="1">
      <c r="A86" s="3"/>
      <c r="C86" s="3"/>
      <c r="D86" s="3"/>
      <c r="E86" s="20"/>
      <c r="J86"/>
    </row>
    <row r="87" spans="1:15" ht="27" customHeight="1">
      <c r="J87"/>
    </row>
    <row r="88" spans="1:15" ht="27" customHeight="1">
      <c r="A88" s="305" t="s">
        <v>130</v>
      </c>
      <c r="B88" s="305"/>
      <c r="C88" s="305"/>
      <c r="D88" s="305"/>
      <c r="E88" s="305"/>
      <c r="F88" s="305"/>
      <c r="G88" s="305"/>
      <c r="J88"/>
    </row>
    <row r="89" spans="1:15">
      <c r="J89"/>
    </row>
    <row r="90" spans="1:15">
      <c r="J90"/>
    </row>
    <row r="91" spans="1:15">
      <c r="J91"/>
    </row>
  </sheetData>
  <autoFilter ref="A7:I73" xr:uid="{BED924C7-DEBF-40DB-9040-5E072283AD39}"/>
  <mergeCells count="4">
    <mergeCell ref="J5:L5"/>
    <mergeCell ref="A83:G83"/>
    <mergeCell ref="A85:G85"/>
    <mergeCell ref="A88:G88"/>
  </mergeCells>
  <pageMargins left="0.23622047244094491" right="0.23622047244094491" top="0.74803149606299213" bottom="0.74803149606299213" header="0.31496062992125984" footer="0.31496062992125984"/>
  <pageSetup paperSize="9" scale="55" fitToHeight="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31A3-C2B5-449E-809A-03D02998DD64}">
  <sheetPr>
    <pageSetUpPr fitToPage="1"/>
  </sheetPr>
  <dimension ref="A1:P26"/>
  <sheetViews>
    <sheetView workbookViewId="0"/>
  </sheetViews>
  <sheetFormatPr baseColWidth="10" defaultRowHeight="15"/>
  <cols>
    <col min="1" max="1" width="8.42578125" customWidth="1"/>
    <col min="2" max="2" width="10.42578125" style="67" bestFit="1" customWidth="1"/>
    <col min="3" max="3" width="11.140625" style="67" customWidth="1"/>
    <col min="4" max="4" width="8.85546875" style="37" bestFit="1" customWidth="1"/>
    <col min="5" max="5" width="7.85546875" customWidth="1"/>
    <col min="6" max="6" width="9.7109375" customWidth="1"/>
    <col min="7" max="7" width="10.140625" bestFit="1" customWidth="1"/>
    <col min="8" max="8" width="2.42578125" customWidth="1"/>
    <col min="9" max="9" width="10.28515625" bestFit="1" customWidth="1"/>
    <col min="10" max="10" width="11.42578125" bestFit="1" customWidth="1"/>
    <col min="11" max="11" width="11.42578125" style="27" bestFit="1" customWidth="1"/>
    <col min="12" max="12" width="7.140625" style="27" customWidth="1"/>
    <col min="13" max="13" width="13.42578125" style="31" customWidth="1"/>
  </cols>
  <sheetData>
    <row r="1" spans="1:16" ht="19.149999999999999" customHeight="1" thickBot="1">
      <c r="J1" s="45" t="s">
        <v>110</v>
      </c>
      <c r="K1" s="45" t="s">
        <v>109</v>
      </c>
      <c r="L1" s="45"/>
      <c r="M1" s="46" t="s">
        <v>108</v>
      </c>
    </row>
    <row r="2" spans="1:16" s="2" customFormat="1" ht="19.5" thickBot="1">
      <c r="A2" s="306" t="s">
        <v>37</v>
      </c>
      <c r="B2" s="307"/>
      <c r="C2" s="307"/>
      <c r="D2" s="307"/>
      <c r="E2" s="307"/>
      <c r="F2" s="307"/>
      <c r="G2" s="308"/>
      <c r="J2" s="44">
        <f>+SUM(J4:J15)</f>
        <v>-34</v>
      </c>
      <c r="K2" s="44">
        <f>+SUM(K4:K15)</f>
        <v>34956.080000000002</v>
      </c>
      <c r="L2" s="44"/>
      <c r="M2" s="44">
        <f>+SUM(M4:M15)-SUM(J4:J15)</f>
        <v>34990.080000000002</v>
      </c>
    </row>
    <row r="3" spans="1:16" s="3" customFormat="1" ht="39.75" customHeight="1">
      <c r="A3" s="24" t="s">
        <v>0</v>
      </c>
      <c r="B3" s="69" t="s">
        <v>3</v>
      </c>
      <c r="C3" s="68" t="s">
        <v>4</v>
      </c>
      <c r="D3" s="42" t="s">
        <v>5</v>
      </c>
      <c r="E3" s="40" t="s">
        <v>98</v>
      </c>
      <c r="F3" s="26" t="s">
        <v>103</v>
      </c>
      <c r="G3" s="25" t="s">
        <v>99</v>
      </c>
      <c r="I3" s="309" t="s">
        <v>102</v>
      </c>
      <c r="J3" s="310"/>
      <c r="K3" s="70" t="s">
        <v>104</v>
      </c>
      <c r="L3" s="71" t="s">
        <v>117</v>
      </c>
      <c r="M3" s="72" t="s">
        <v>107</v>
      </c>
    </row>
    <row r="4" spans="1:16" s="3" customFormat="1" ht="18.75" hidden="1">
      <c r="A4" s="23">
        <v>45684</v>
      </c>
      <c r="B4" s="95">
        <v>8613</v>
      </c>
      <c r="C4" s="38"/>
      <c r="D4" s="43">
        <f>+IF(D3="Saldo",0,IF(E4="NTL",D3,D3+C4-B4))</f>
        <v>0</v>
      </c>
      <c r="E4" s="41" t="s">
        <v>101</v>
      </c>
      <c r="F4" s="22"/>
      <c r="G4" s="22" t="s">
        <v>91</v>
      </c>
      <c r="I4" s="79" t="s">
        <v>91</v>
      </c>
      <c r="J4" s="76">
        <f t="shared" ref="J4:J9" si="0">+SUMIFS(C:C,G:G,I4)-SUMIFS(B:B,G:G,I4)</f>
        <v>0</v>
      </c>
      <c r="K4" s="73">
        <f t="shared" ref="K4:K9" si="1">+IF(L4="No",0,SUMIFS(C:C,G:G,I4)-SUMIFS(B:B,F:F,I4))</f>
        <v>0</v>
      </c>
      <c r="L4" s="74" t="s">
        <v>105</v>
      </c>
      <c r="M4" s="75">
        <f>+SUMIFS(C:C,G:G,I4)-SUMIFS(B:B,F:F,I4)</f>
        <v>0</v>
      </c>
    </row>
    <row r="5" spans="1:16" s="3" customFormat="1" ht="18.75" hidden="1">
      <c r="A5" s="23">
        <v>45809</v>
      </c>
      <c r="B5" s="96">
        <v>20148.36</v>
      </c>
      <c r="C5" s="38"/>
      <c r="D5" s="43">
        <f>+IF(D4="Saldo",0,IF(E5="NTL",D4,D4+C5-B5))</f>
        <v>0</v>
      </c>
      <c r="E5" s="41" t="s">
        <v>101</v>
      </c>
      <c r="F5" s="22"/>
      <c r="G5" s="22" t="s">
        <v>91</v>
      </c>
      <c r="I5" s="80" t="s">
        <v>92</v>
      </c>
      <c r="J5" s="77">
        <f t="shared" si="0"/>
        <v>0</v>
      </c>
      <c r="K5" s="91">
        <f t="shared" si="1"/>
        <v>0</v>
      </c>
      <c r="L5" s="34" t="s">
        <v>105</v>
      </c>
      <c r="M5" s="36">
        <f>+SUMIFS(C:C,G:G,I5)-SUMIFS(B:B,F:F,I5)</f>
        <v>0</v>
      </c>
    </row>
    <row r="6" spans="1:16" ht="25.5" hidden="1">
      <c r="A6" s="21" t="s">
        <v>90</v>
      </c>
      <c r="B6" s="95"/>
      <c r="C6" s="90">
        <v>28761.360000000001</v>
      </c>
      <c r="D6" s="43">
        <f t="shared" ref="D6:D24" si="2">+IF(D5="Saldo",0,IF(E6="NTL",D5,D5+C6-B6))</f>
        <v>28761.360000000001</v>
      </c>
      <c r="E6" s="41"/>
      <c r="F6" s="22"/>
      <c r="G6" s="22" t="s">
        <v>91</v>
      </c>
      <c r="I6" s="80" t="s">
        <v>93</v>
      </c>
      <c r="J6" s="78">
        <f t="shared" si="0"/>
        <v>0</v>
      </c>
      <c r="K6" s="91">
        <f t="shared" si="1"/>
        <v>0</v>
      </c>
      <c r="L6" s="35" t="s">
        <v>136</v>
      </c>
      <c r="M6" s="36">
        <f>+SUMIFS(C:C,G:G,I6)-SUMIFS(B:B,F:F,I6)</f>
        <v>0</v>
      </c>
    </row>
    <row r="7" spans="1:16" ht="18.75" hidden="1">
      <c r="A7" s="23">
        <v>45791</v>
      </c>
      <c r="B7" s="97">
        <v>7300</v>
      </c>
      <c r="C7" s="98"/>
      <c r="D7" s="43">
        <f t="shared" si="2"/>
        <v>28761.360000000001</v>
      </c>
      <c r="E7" s="41" t="s">
        <v>101</v>
      </c>
      <c r="F7" s="22"/>
      <c r="G7" s="22" t="s">
        <v>92</v>
      </c>
      <c r="I7" s="80" t="s">
        <v>133</v>
      </c>
      <c r="J7" s="78">
        <f t="shared" si="0"/>
        <v>0</v>
      </c>
      <c r="K7" s="284">
        <f t="shared" si="1"/>
        <v>0</v>
      </c>
      <c r="L7" s="35" t="s">
        <v>106</v>
      </c>
      <c r="M7" s="36">
        <f>+SUMIFS(C:C,G:G,I7,E:E,"Bco")-SUMIFS(B:B,F:F,I7,E:E,"Bco")</f>
        <v>0</v>
      </c>
      <c r="O7" s="31"/>
      <c r="P7">
        <v>34603.199999999997</v>
      </c>
    </row>
    <row r="8" spans="1:16" ht="18.75" hidden="1">
      <c r="A8" s="23">
        <v>45853</v>
      </c>
      <c r="B8" s="89">
        <v>4719.84</v>
      </c>
      <c r="C8" s="98"/>
      <c r="D8" s="43">
        <f t="shared" si="2"/>
        <v>24041.52</v>
      </c>
      <c r="E8" s="41" t="s">
        <v>100</v>
      </c>
      <c r="F8" s="22" t="s">
        <v>91</v>
      </c>
      <c r="G8" s="22" t="s">
        <v>92</v>
      </c>
      <c r="I8" s="80" t="s">
        <v>146</v>
      </c>
      <c r="J8" s="78">
        <f t="shared" si="0"/>
        <v>0</v>
      </c>
      <c r="K8" s="284">
        <f t="shared" si="1"/>
        <v>8.000000000174623E-2</v>
      </c>
      <c r="L8" s="35" t="s">
        <v>136</v>
      </c>
      <c r="M8" s="36">
        <f>+SUMIFS(C:C,G:G,I8)-SUMIFS(B:B,F:F,I8)</f>
        <v>8.000000000174623E-2</v>
      </c>
      <c r="O8" s="31"/>
      <c r="P8">
        <v>-10500</v>
      </c>
    </row>
    <row r="9" spans="1:16" ht="15.6" hidden="1" customHeight="1">
      <c r="A9" s="23">
        <v>45853</v>
      </c>
      <c r="B9" s="88">
        <v>4280.16</v>
      </c>
      <c r="C9" s="98"/>
      <c r="D9" s="43">
        <f t="shared" si="2"/>
        <v>19761.36</v>
      </c>
      <c r="E9" s="41" t="s">
        <v>100</v>
      </c>
      <c r="F9" s="22" t="s">
        <v>91</v>
      </c>
      <c r="G9" s="22" t="s">
        <v>93</v>
      </c>
      <c r="I9" s="80" t="s">
        <v>195</v>
      </c>
      <c r="J9" s="78">
        <f t="shared" si="0"/>
        <v>-34</v>
      </c>
      <c r="K9" s="284">
        <f t="shared" si="1"/>
        <v>34956</v>
      </c>
      <c r="L9" s="35" t="s">
        <v>136</v>
      </c>
      <c r="M9" s="36">
        <f>+SUMIFS(C:C,G:G,I9)-SUMIFS(B:B,F:F,I9)</f>
        <v>34956</v>
      </c>
      <c r="O9" s="31"/>
      <c r="P9">
        <v>-11811.6</v>
      </c>
    </row>
    <row r="10" spans="1:16" ht="25.5" hidden="1">
      <c r="A10" s="87" t="s">
        <v>147</v>
      </c>
      <c r="B10" s="88"/>
      <c r="C10" s="99">
        <v>12019.84</v>
      </c>
      <c r="D10" s="43">
        <f t="shared" si="2"/>
        <v>31781.200000000001</v>
      </c>
      <c r="E10" s="41"/>
      <c r="F10" s="22"/>
      <c r="G10" s="22" t="s">
        <v>92</v>
      </c>
      <c r="J10" s="93">
        <f>+J7+J8</f>
        <v>0</v>
      </c>
      <c r="K10" s="33"/>
      <c r="O10" s="32"/>
      <c r="P10">
        <v>-12019.84</v>
      </c>
    </row>
    <row r="11" spans="1:16" ht="38.25" hidden="1">
      <c r="A11" s="87" t="s">
        <v>148</v>
      </c>
      <c r="B11" s="88"/>
      <c r="C11" s="98">
        <v>12229.92</v>
      </c>
      <c r="D11" s="43">
        <f t="shared" si="2"/>
        <v>44011.12</v>
      </c>
      <c r="E11" s="41"/>
      <c r="F11" s="22"/>
      <c r="G11" s="22" t="s">
        <v>93</v>
      </c>
      <c r="P11">
        <f>+P7+P8+P9+P10</f>
        <v>271.75999999999658</v>
      </c>
    </row>
    <row r="12" spans="1:16" hidden="1">
      <c r="A12" s="23">
        <v>45891</v>
      </c>
      <c r="B12" s="88">
        <v>10500</v>
      </c>
      <c r="C12" s="39"/>
      <c r="D12" s="43">
        <f>+IF(D10="Saldo",0,IF(E12="NTL",D10,D10+C12-B12))</f>
        <v>31781.200000000001</v>
      </c>
      <c r="E12" s="41" t="s">
        <v>101</v>
      </c>
      <c r="F12" s="22"/>
      <c r="G12" s="1" t="s">
        <v>133</v>
      </c>
    </row>
    <row r="13" spans="1:16" hidden="1">
      <c r="A13" s="23">
        <v>45891</v>
      </c>
      <c r="B13" s="88">
        <v>10500</v>
      </c>
      <c r="C13" s="39"/>
      <c r="D13" s="43">
        <f>+IF(D11="Saldo",0,IF(E13="NTL",D11,D11+C13-B13))</f>
        <v>44011.12</v>
      </c>
      <c r="E13" s="41" t="s">
        <v>101</v>
      </c>
      <c r="F13" s="22"/>
      <c r="G13" s="1" t="s">
        <v>146</v>
      </c>
    </row>
    <row r="14" spans="1:16" s="2" customFormat="1" ht="18.75" hidden="1">
      <c r="A14" s="23">
        <v>45897</v>
      </c>
      <c r="B14" s="89">
        <v>7949.76</v>
      </c>
      <c r="C14" s="39"/>
      <c r="D14" s="43">
        <f t="shared" si="2"/>
        <v>36061.360000000001</v>
      </c>
      <c r="E14" s="41" t="s">
        <v>100</v>
      </c>
      <c r="F14" s="22" t="s">
        <v>91</v>
      </c>
      <c r="G14" s="1" t="s">
        <v>93</v>
      </c>
      <c r="I14" s="30"/>
      <c r="J14" s="30"/>
      <c r="K14" s="27"/>
      <c r="L14" s="28"/>
    </row>
    <row r="15" spans="1:16" s="3" customFormat="1" ht="24" hidden="1" customHeight="1">
      <c r="A15" s="23">
        <v>45897</v>
      </c>
      <c r="B15" s="89">
        <v>11811.6</v>
      </c>
      <c r="C15" s="39"/>
      <c r="D15" s="43">
        <f t="shared" si="2"/>
        <v>24249.760000000002</v>
      </c>
      <c r="E15" s="41" t="s">
        <v>135</v>
      </c>
      <c r="F15" s="22" t="s">
        <v>91</v>
      </c>
      <c r="G15" s="1" t="s">
        <v>133</v>
      </c>
      <c r="I15"/>
      <c r="J15"/>
      <c r="K15" s="47"/>
      <c r="L15" s="29"/>
      <c r="M15" s="92"/>
    </row>
    <row r="16" spans="1:16" s="3" customFormat="1" ht="24" hidden="1" customHeight="1">
      <c r="A16" s="23">
        <v>45937</v>
      </c>
      <c r="B16" s="89">
        <f>+C10</f>
        <v>12019.84</v>
      </c>
      <c r="C16" s="39"/>
      <c r="D16" s="43">
        <f t="shared" si="2"/>
        <v>12229.920000000002</v>
      </c>
      <c r="E16" s="41" t="s">
        <v>135</v>
      </c>
      <c r="F16" s="22" t="s">
        <v>92</v>
      </c>
      <c r="G16" s="1" t="s">
        <v>133</v>
      </c>
      <c r="I16"/>
      <c r="J16" s="93"/>
      <c r="K16" s="47"/>
      <c r="L16" s="29"/>
      <c r="M16" s="92"/>
      <c r="O16" s="100"/>
    </row>
    <row r="17" spans="1:13" s="3" customFormat="1" ht="24" hidden="1" customHeight="1">
      <c r="A17" s="23">
        <v>45945</v>
      </c>
      <c r="B17" s="89">
        <f>+C11</f>
        <v>12229.92</v>
      </c>
      <c r="C17" s="39"/>
      <c r="D17" s="43">
        <f t="shared" si="2"/>
        <v>1.8189894035458565E-12</v>
      </c>
      <c r="E17" s="41" t="s">
        <v>135</v>
      </c>
      <c r="F17" s="22" t="s">
        <v>93</v>
      </c>
      <c r="G17" s="1" t="s">
        <v>146</v>
      </c>
      <c r="I17"/>
      <c r="J17"/>
      <c r="K17" s="47"/>
      <c r="L17" s="29"/>
      <c r="M17" s="92"/>
    </row>
    <row r="18" spans="1:13" s="3" customFormat="1" ht="24" hidden="1" customHeight="1">
      <c r="A18" s="23">
        <v>45948</v>
      </c>
      <c r="B18" s="89">
        <v>271.76</v>
      </c>
      <c r="C18" s="39"/>
      <c r="D18" s="43">
        <f t="shared" si="2"/>
        <v>1.8189894035458565E-12</v>
      </c>
      <c r="E18" s="41" t="s">
        <v>101</v>
      </c>
      <c r="F18" s="22"/>
      <c r="G18" s="1" t="s">
        <v>133</v>
      </c>
      <c r="I18"/>
      <c r="J18"/>
      <c r="K18" s="47"/>
      <c r="L18" s="29"/>
      <c r="M18" s="92"/>
    </row>
    <row r="19" spans="1:13" s="3" customFormat="1" ht="24" hidden="1" customHeight="1">
      <c r="A19" s="23">
        <v>45948</v>
      </c>
      <c r="B19" s="89">
        <v>12260.16</v>
      </c>
      <c r="C19" s="39"/>
      <c r="D19" s="43">
        <f t="shared" si="2"/>
        <v>1.8189894035458565E-12</v>
      </c>
      <c r="E19" s="41" t="s">
        <v>101</v>
      </c>
      <c r="F19" s="22"/>
      <c r="G19" s="1" t="s">
        <v>146</v>
      </c>
      <c r="I19"/>
      <c r="J19"/>
      <c r="K19" s="47"/>
      <c r="L19" s="29"/>
      <c r="M19" s="92"/>
    </row>
    <row r="20" spans="1:13" s="3" customFormat="1" ht="24" hidden="1" customHeight="1">
      <c r="A20" s="23" t="s">
        <v>149</v>
      </c>
      <c r="B20" s="89"/>
      <c r="C20" s="39">
        <v>34603.199999999997</v>
      </c>
      <c r="D20" s="43">
        <f t="shared" si="2"/>
        <v>1.8189894035458565E-12</v>
      </c>
      <c r="E20" s="41" t="s">
        <v>101</v>
      </c>
      <c r="F20" s="22" t="s">
        <v>133</v>
      </c>
      <c r="G20" s="22" t="s">
        <v>133</v>
      </c>
      <c r="I20" s="283" t="s">
        <v>101</v>
      </c>
      <c r="J20"/>
      <c r="K20" s="47"/>
      <c r="L20" s="29"/>
      <c r="M20" s="92"/>
    </row>
    <row r="21" spans="1:13" s="3" customFormat="1" ht="24" customHeight="1">
      <c r="A21" s="23" t="s">
        <v>132</v>
      </c>
      <c r="B21" s="89"/>
      <c r="C21" s="39">
        <v>34990.080000000002</v>
      </c>
      <c r="D21" s="43">
        <f t="shared" si="2"/>
        <v>34990.080000000002</v>
      </c>
      <c r="E21" s="41"/>
      <c r="F21" s="22"/>
      <c r="G21" s="22" t="s">
        <v>146</v>
      </c>
      <c r="I21" s="283" t="s">
        <v>193</v>
      </c>
      <c r="J21"/>
      <c r="K21" s="47"/>
      <c r="L21" s="29"/>
      <c r="M21" s="92"/>
    </row>
    <row r="22" spans="1:13" s="3" customFormat="1" ht="24" customHeight="1">
      <c r="A22" s="23">
        <v>46094</v>
      </c>
      <c r="B22" s="89">
        <v>14000</v>
      </c>
      <c r="C22" s="39"/>
      <c r="D22" s="43">
        <f t="shared" si="2"/>
        <v>20990.080000000002</v>
      </c>
      <c r="E22" s="41"/>
      <c r="F22" s="22" t="s">
        <v>146</v>
      </c>
      <c r="G22" s="22" t="s">
        <v>195</v>
      </c>
      <c r="I22" s="283"/>
      <c r="J22"/>
      <c r="K22" s="47"/>
      <c r="L22" s="29"/>
      <c r="M22" s="92"/>
    </row>
    <row r="23" spans="1:13" s="3" customFormat="1" ht="24" customHeight="1">
      <c r="A23" s="23">
        <v>46176</v>
      </c>
      <c r="B23" s="89">
        <v>20990</v>
      </c>
      <c r="C23" s="39"/>
      <c r="D23" s="43">
        <f t="shared" si="2"/>
        <v>8.000000000174623E-2</v>
      </c>
      <c r="E23" s="41"/>
      <c r="F23" s="22" t="s">
        <v>146</v>
      </c>
      <c r="G23" s="22" t="s">
        <v>195</v>
      </c>
      <c r="I23" s="283"/>
      <c r="J23"/>
      <c r="K23" s="47"/>
      <c r="L23" s="29"/>
      <c r="M23" s="92"/>
    </row>
    <row r="24" spans="1:13" s="3" customFormat="1" ht="24" customHeight="1">
      <c r="A24" s="23" t="s">
        <v>194</v>
      </c>
      <c r="B24" s="89"/>
      <c r="C24" s="39">
        <v>34956</v>
      </c>
      <c r="D24" s="43">
        <f t="shared" si="2"/>
        <v>34956.080000000002</v>
      </c>
      <c r="E24" s="41"/>
      <c r="F24" s="22"/>
      <c r="G24" s="22" t="s">
        <v>195</v>
      </c>
      <c r="I24" s="283"/>
      <c r="J24"/>
      <c r="K24" s="47"/>
      <c r="L24" s="29"/>
      <c r="M24" s="92"/>
    </row>
    <row r="25" spans="1:13">
      <c r="J25" s="27"/>
      <c r="K25" s="47"/>
    </row>
    <row r="26" spans="1:13">
      <c r="J26" s="94"/>
      <c r="K26" s="47"/>
      <c r="L26" s="47"/>
    </row>
  </sheetData>
  <mergeCells count="2">
    <mergeCell ref="A2:G2"/>
    <mergeCell ref="I3:J3"/>
  </mergeCells>
  <phoneticPr fontId="16" type="noConversion"/>
  <pageMargins left="0.70866141732283472" right="0.70866141732283472" top="0.74803149606299213" bottom="0.74803149606299213" header="0.31496062992125984" footer="0.31496062992125984"/>
  <pageSetup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55CA5-2FE5-48CC-9E08-026DE5AE72A1}">
  <dimension ref="A1:O19"/>
  <sheetViews>
    <sheetView workbookViewId="0"/>
  </sheetViews>
  <sheetFormatPr baseColWidth="10" defaultRowHeight="15"/>
  <cols>
    <col min="1" max="1" width="7.85546875" style="147" customWidth="1"/>
    <col min="2" max="2" width="11.5703125" style="215" bestFit="1" customWidth="1"/>
    <col min="3" max="3" width="9.42578125" style="215" bestFit="1" customWidth="1"/>
    <col min="4" max="4" width="8.42578125" style="215" bestFit="1" customWidth="1"/>
    <col min="5" max="5" width="7.7109375" style="147" customWidth="1"/>
    <col min="6" max="6" width="7.85546875" style="147" customWidth="1"/>
    <col min="7" max="7" width="7.140625" style="147" customWidth="1"/>
    <col min="8" max="8" width="2.42578125" style="147" customWidth="1"/>
    <col min="9" max="9" width="10.28515625" style="147" bestFit="1" customWidth="1"/>
    <col min="10" max="10" width="12.42578125" style="147" bestFit="1" customWidth="1"/>
    <col min="11" max="11" width="10.140625" style="148" bestFit="1" customWidth="1"/>
    <col min="12" max="12" width="7.28515625" style="148" customWidth="1"/>
    <col min="13" max="13" width="10.7109375" style="228" bestFit="1" customWidth="1"/>
    <col min="14" max="14" width="11.42578125" style="147"/>
  </cols>
  <sheetData>
    <row r="1" spans="1:15" ht="31.5" customHeight="1" thickBot="1">
      <c r="J1" s="216" t="s">
        <v>110</v>
      </c>
      <c r="K1" s="216" t="s">
        <v>109</v>
      </c>
      <c r="L1" s="216"/>
      <c r="M1" s="217" t="s">
        <v>108</v>
      </c>
    </row>
    <row r="2" spans="1:15" s="2" customFormat="1" ht="19.5" thickBot="1">
      <c r="A2" s="311" t="s">
        <v>36</v>
      </c>
      <c r="B2" s="312"/>
      <c r="C2" s="312"/>
      <c r="D2" s="312"/>
      <c r="E2" s="312"/>
      <c r="F2" s="312"/>
      <c r="G2" s="313"/>
      <c r="H2" s="146"/>
      <c r="I2" s="146"/>
      <c r="J2" s="218">
        <f>+SUM(J4:J6)</f>
        <v>700</v>
      </c>
      <c r="K2" s="218">
        <f>+SUM(K4:K6)</f>
        <v>0</v>
      </c>
      <c r="L2" s="218"/>
      <c r="M2" s="218">
        <f>+SUM(M4:M6)-SUM(J4:J6)</f>
        <v>-700</v>
      </c>
      <c r="N2" s="146"/>
    </row>
    <row r="3" spans="1:15" s="29" customFormat="1" ht="49.5">
      <c r="A3" s="246" t="s">
        <v>0</v>
      </c>
      <c r="B3" s="247" t="s">
        <v>3</v>
      </c>
      <c r="C3" s="252" t="s">
        <v>4</v>
      </c>
      <c r="D3" s="248" t="s">
        <v>5</v>
      </c>
      <c r="E3" s="249" t="s">
        <v>98</v>
      </c>
      <c r="F3" s="250" t="s">
        <v>103</v>
      </c>
      <c r="G3" s="251" t="s">
        <v>99</v>
      </c>
      <c r="H3" s="144"/>
      <c r="I3" s="314" t="s">
        <v>102</v>
      </c>
      <c r="J3" s="315"/>
      <c r="K3" s="219" t="s">
        <v>104</v>
      </c>
      <c r="L3" s="220" t="s">
        <v>177</v>
      </c>
      <c r="M3" s="221" t="s">
        <v>107</v>
      </c>
      <c r="N3" s="144"/>
    </row>
    <row r="4" spans="1:15" s="3" customFormat="1" ht="18.75">
      <c r="A4" s="238">
        <v>45855</v>
      </c>
      <c r="B4" s="255">
        <v>2200</v>
      </c>
      <c r="C4" s="255"/>
      <c r="D4" s="245">
        <f>+IF(D3="Saldo",0,IF(E4="NTL",D3,D3+C4-B4))</f>
        <v>0</v>
      </c>
      <c r="E4" s="243" t="s">
        <v>101</v>
      </c>
      <c r="F4" s="142"/>
      <c r="G4" s="142" t="s">
        <v>112</v>
      </c>
      <c r="H4" s="143"/>
      <c r="I4" s="222" t="s">
        <v>111</v>
      </c>
      <c r="J4" s="223">
        <f>+SUMIFS(C:C,G:G,I4)-SUMIFS(B:B,G:G,I4)</f>
        <v>700</v>
      </c>
      <c r="K4" s="224">
        <f>+IF(L4="No",0,SUMIFS(C:C,G:G,I4)-SUMIFS(B:B,F:F,I4))</f>
        <v>0</v>
      </c>
      <c r="L4" s="145" t="s">
        <v>136</v>
      </c>
      <c r="M4" s="225">
        <f>+SUMIFS(C:C,G:G,I4)-SUMIFS(B:B,F:F,I4)</f>
        <v>0</v>
      </c>
      <c r="N4" s="143"/>
    </row>
    <row r="5" spans="1:15" s="3" customFormat="1" ht="18.75">
      <c r="A5" s="238">
        <v>45930</v>
      </c>
      <c r="B5" s="255">
        <v>2940</v>
      </c>
      <c r="C5" s="255"/>
      <c r="D5" s="245">
        <f>+IF(D4="Saldo",0,IF(E5="NTL",D4,D4+C5-B5))</f>
        <v>0</v>
      </c>
      <c r="E5" s="243" t="s">
        <v>101</v>
      </c>
      <c r="F5" s="142"/>
      <c r="G5" s="142" t="s">
        <v>112</v>
      </c>
      <c r="H5" s="143"/>
      <c r="I5" s="222" t="s">
        <v>112</v>
      </c>
      <c r="J5" s="256">
        <f>+SUMIFS(C:C,G:G,I5)-SUMIFS(B:B,G:G,I5)</f>
        <v>0</v>
      </c>
      <c r="K5" s="224">
        <f>+IF(L5="No",0,SUMIFS(C:C,G:G,I5)-SUMIFS(B:B,F:F,I5))</f>
        <v>0</v>
      </c>
      <c r="L5" s="227" t="s">
        <v>136</v>
      </c>
      <c r="M5" s="225">
        <f>+SUMIFS(C:C,G:G,I5)-SUMIFS(B:B,F:F,I5)</f>
        <v>0</v>
      </c>
      <c r="N5" s="143"/>
    </row>
    <row r="6" spans="1:15" ht="18">
      <c r="A6" s="244">
        <v>46055</v>
      </c>
      <c r="B6" s="239"/>
      <c r="C6" s="240">
        <v>700</v>
      </c>
      <c r="D6" s="245">
        <f t="shared" ref="D6:D17" si="0">+IF(D5="Saldo",0,IF(E6="NTL",D5,D5+C6-B6))</f>
        <v>700</v>
      </c>
      <c r="E6" s="243"/>
      <c r="F6" s="142"/>
      <c r="G6" s="142" t="s">
        <v>111</v>
      </c>
      <c r="I6" s="222" t="s">
        <v>153</v>
      </c>
      <c r="J6" s="226">
        <f>+SUMIFS(C:C,G:G,I6)-SUMIFS(B:B,G:G,I6)</f>
        <v>0</v>
      </c>
      <c r="K6" s="224">
        <f>+IF(L6="No",0,SUMIFS(C:C,G:G,I6)-SUMIFS(B:B,F:F,I6))</f>
        <v>0</v>
      </c>
      <c r="L6" s="227"/>
      <c r="M6" s="225">
        <f>+SUMIFS(C:C,G:G,I6)-SUMIFS(B:B,F:F,I6)</f>
        <v>0</v>
      </c>
      <c r="O6" s="102"/>
    </row>
    <row r="7" spans="1:15" ht="18" customHeight="1">
      <c r="A7" s="244">
        <v>46057</v>
      </c>
      <c r="B7" s="236">
        <v>700</v>
      </c>
      <c r="C7" s="240"/>
      <c r="D7" s="245">
        <f t="shared" si="0"/>
        <v>0</v>
      </c>
      <c r="E7" s="243" t="s">
        <v>100</v>
      </c>
      <c r="F7" s="142" t="s">
        <v>111</v>
      </c>
      <c r="G7" s="142" t="s">
        <v>112</v>
      </c>
    </row>
    <row r="8" spans="1:15" ht="18" customHeight="1">
      <c r="A8" s="238">
        <v>46057</v>
      </c>
      <c r="B8" s="239">
        <f>9260-700</f>
        <v>8560</v>
      </c>
      <c r="C8" s="240"/>
      <c r="D8" s="245">
        <f t="shared" si="0"/>
        <v>0</v>
      </c>
      <c r="E8" s="243" t="s">
        <v>101</v>
      </c>
      <c r="F8" s="243"/>
      <c r="G8" s="142" t="s">
        <v>112</v>
      </c>
    </row>
    <row r="9" spans="1:15" ht="18" customHeight="1">
      <c r="A9" s="244">
        <v>46068</v>
      </c>
      <c r="B9" s="241"/>
      <c r="C9" s="240">
        <v>14400</v>
      </c>
      <c r="D9" s="245">
        <f t="shared" si="0"/>
        <v>14400</v>
      </c>
      <c r="E9" s="243"/>
      <c r="F9" s="142"/>
      <c r="G9" s="142" t="s">
        <v>112</v>
      </c>
      <c r="L9" s="229"/>
    </row>
    <row r="10" spans="1:15" ht="18" customHeight="1">
      <c r="A10" s="238">
        <v>46166</v>
      </c>
      <c r="B10" s="241">
        <v>14400</v>
      </c>
      <c r="C10" s="240"/>
      <c r="D10" s="245">
        <f t="shared" si="0"/>
        <v>0</v>
      </c>
      <c r="E10" s="243" t="s">
        <v>135</v>
      </c>
      <c r="F10" s="142" t="s">
        <v>112</v>
      </c>
      <c r="G10" s="142"/>
      <c r="J10" s="230"/>
      <c r="K10" s="231"/>
    </row>
    <row r="11" spans="1:15" ht="18" customHeight="1">
      <c r="A11" s="244"/>
      <c r="B11" s="241"/>
      <c r="C11" s="240"/>
      <c r="D11" s="245">
        <f t="shared" si="0"/>
        <v>0</v>
      </c>
      <c r="E11" s="243"/>
      <c r="F11" s="142"/>
      <c r="G11" s="142"/>
      <c r="J11" s="232"/>
      <c r="K11" s="231"/>
    </row>
    <row r="12" spans="1:15" ht="18" customHeight="1">
      <c r="A12" s="244"/>
      <c r="B12" s="241"/>
      <c r="C12" s="240"/>
      <c r="D12" s="245">
        <f t="shared" si="0"/>
        <v>0</v>
      </c>
      <c r="E12" s="243"/>
      <c r="F12" s="142"/>
      <c r="G12" s="142"/>
      <c r="K12" s="231"/>
    </row>
    <row r="13" spans="1:15" ht="18" customHeight="1">
      <c r="A13" s="244"/>
      <c r="B13" s="241"/>
      <c r="C13" s="240"/>
      <c r="D13" s="245">
        <f t="shared" si="0"/>
        <v>0</v>
      </c>
      <c r="E13" s="243"/>
      <c r="F13" s="142"/>
      <c r="G13" s="142"/>
      <c r="K13" s="231"/>
    </row>
    <row r="14" spans="1:15" ht="18" customHeight="1">
      <c r="A14" s="242"/>
      <c r="B14" s="239"/>
      <c r="C14" s="240"/>
      <c r="D14" s="245">
        <f t="shared" si="0"/>
        <v>0</v>
      </c>
      <c r="E14" s="243"/>
      <c r="F14" s="142"/>
      <c r="G14" s="227"/>
    </row>
    <row r="15" spans="1:15" ht="18" customHeight="1">
      <c r="A15" s="242"/>
      <c r="B15" s="239"/>
      <c r="C15" s="240"/>
      <c r="D15" s="245">
        <f t="shared" si="0"/>
        <v>0</v>
      </c>
      <c r="E15" s="253"/>
      <c r="F15" s="254"/>
      <c r="G15" s="227"/>
    </row>
    <row r="16" spans="1:15" ht="18" customHeight="1">
      <c r="A16" s="242"/>
      <c r="B16" s="239"/>
      <c r="C16" s="240"/>
      <c r="D16" s="245">
        <f t="shared" si="0"/>
        <v>0</v>
      </c>
      <c r="E16" s="243"/>
      <c r="F16" s="142"/>
      <c r="G16" s="227"/>
      <c r="I16" s="146"/>
      <c r="J16" s="146"/>
      <c r="K16" s="233"/>
    </row>
    <row r="17" spans="1:14" ht="18" customHeight="1">
      <c r="A17" s="242"/>
      <c r="B17" s="239"/>
      <c r="C17" s="240"/>
      <c r="D17" s="245">
        <f t="shared" si="0"/>
        <v>0</v>
      </c>
      <c r="E17" s="243"/>
      <c r="F17" s="142"/>
      <c r="G17" s="227"/>
      <c r="I17" s="143"/>
      <c r="J17" s="143"/>
      <c r="K17" s="144"/>
    </row>
    <row r="18" spans="1:14" s="2" customFormat="1" ht="18" customHeight="1">
      <c r="A18" s="237"/>
      <c r="B18" s="236"/>
      <c r="C18" s="236"/>
      <c r="D18" s="236"/>
      <c r="E18" s="237"/>
      <c r="F18" s="237"/>
      <c r="G18" s="237"/>
      <c r="H18" s="146"/>
      <c r="I18" s="147"/>
      <c r="J18" s="147"/>
      <c r="K18" s="148"/>
      <c r="L18" s="233"/>
      <c r="M18" s="234"/>
      <c r="N18" s="146"/>
    </row>
    <row r="19" spans="1:14" s="3" customFormat="1" ht="24" customHeight="1">
      <c r="A19" s="147"/>
      <c r="B19" s="215"/>
      <c r="C19" s="215"/>
      <c r="D19" s="215"/>
      <c r="E19" s="147"/>
      <c r="F19" s="147"/>
      <c r="G19" s="147"/>
      <c r="H19" s="143"/>
      <c r="I19" s="147"/>
      <c r="J19" s="147"/>
      <c r="K19" s="148"/>
      <c r="L19" s="144"/>
      <c r="M19" s="235"/>
      <c r="N19" s="143"/>
    </row>
  </sheetData>
  <mergeCells count="2">
    <mergeCell ref="A2:G2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B38E1-9351-488A-BCC1-7B4C078274E9}">
  <dimension ref="A1:E3"/>
  <sheetViews>
    <sheetView workbookViewId="0">
      <selection activeCell="E19" sqref="E19:E20"/>
    </sheetView>
  </sheetViews>
  <sheetFormatPr baseColWidth="10" defaultRowHeight="15"/>
  <cols>
    <col min="2" max="2" width="13.28515625" bestFit="1" customWidth="1"/>
    <col min="5" max="5" width="13.28515625" bestFit="1" customWidth="1"/>
  </cols>
  <sheetData>
    <row r="1" spans="1:5" ht="18.75">
      <c r="A1" s="20" t="s">
        <v>201</v>
      </c>
      <c r="B1" s="20">
        <v>23622.48</v>
      </c>
      <c r="C1" s="2"/>
      <c r="D1" s="116" t="s">
        <v>204</v>
      </c>
      <c r="E1" s="20">
        <v>31613.520000000008</v>
      </c>
    </row>
    <row r="2" spans="1:5" ht="19.5" thickBot="1">
      <c r="A2" s="3" t="s">
        <v>202</v>
      </c>
      <c r="B2" s="20">
        <v>6920.86</v>
      </c>
      <c r="C2" s="3"/>
      <c r="D2" s="3" t="s">
        <v>206</v>
      </c>
      <c r="E2" s="20">
        <v>7358.9</v>
      </c>
    </row>
    <row r="3" spans="1:5" ht="19.5" thickBot="1">
      <c r="B3" s="289">
        <f>+B1-B2</f>
        <v>16701.62</v>
      </c>
      <c r="D3" s="101"/>
      <c r="E3" s="289">
        <f>+E1-E2</f>
        <v>24254.62000000001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A2ED9-6FA8-4C08-A6E2-05D5E6659FDB}">
  <dimension ref="A1:G7"/>
  <sheetViews>
    <sheetView workbookViewId="0"/>
  </sheetViews>
  <sheetFormatPr baseColWidth="10" defaultRowHeight="15"/>
  <cols>
    <col min="1" max="1" width="10.5703125" bestFit="1" customWidth="1"/>
    <col min="2" max="2" width="9.42578125" bestFit="1" customWidth="1"/>
    <col min="3" max="3" width="6.5703125" bestFit="1" customWidth="1"/>
    <col min="4" max="4" width="9.140625" bestFit="1" customWidth="1"/>
    <col min="5" max="5" width="11.42578125" bestFit="1" customWidth="1"/>
    <col min="6" max="6" width="15" style="54" hidden="1" customWidth="1"/>
    <col min="7" max="7" width="8.7109375" style="27" hidden="1" customWidth="1"/>
  </cols>
  <sheetData>
    <row r="1" spans="1:7" ht="30">
      <c r="A1" s="45"/>
      <c r="B1" s="51" t="s">
        <v>119</v>
      </c>
      <c r="C1" s="51" t="s">
        <v>120</v>
      </c>
      <c r="D1" s="52" t="s">
        <v>121</v>
      </c>
    </row>
    <row r="2" spans="1:7" ht="45">
      <c r="A2" s="53" t="s">
        <v>122</v>
      </c>
      <c r="B2" s="51">
        <v>19640</v>
      </c>
      <c r="C2" s="51"/>
      <c r="D2" s="52">
        <f>+B2-C2</f>
        <v>19640</v>
      </c>
      <c r="F2" s="35" t="s">
        <v>128</v>
      </c>
      <c r="G2" s="55">
        <v>130300</v>
      </c>
    </row>
    <row r="3" spans="1:7" ht="30">
      <c r="A3" s="53" t="s">
        <v>123</v>
      </c>
      <c r="B3" s="51">
        <v>21487</v>
      </c>
      <c r="C3" s="51"/>
      <c r="D3" s="52">
        <f>+B3-C3</f>
        <v>21487</v>
      </c>
      <c r="F3" s="35" t="s">
        <v>126</v>
      </c>
      <c r="G3" s="55">
        <v>121322</v>
      </c>
    </row>
    <row r="4" spans="1:7" ht="45">
      <c r="A4" s="53" t="s">
        <v>124</v>
      </c>
      <c r="B4" s="51">
        <v>17396</v>
      </c>
      <c r="C4" s="51"/>
      <c r="D4" s="52">
        <f>+B4-C4</f>
        <v>17396</v>
      </c>
      <c r="F4" s="35" t="s">
        <v>125</v>
      </c>
      <c r="G4" s="55">
        <f>207569.34+900</f>
        <v>208469.34</v>
      </c>
    </row>
    <row r="5" spans="1:7" ht="30">
      <c r="A5" s="53" t="s">
        <v>43</v>
      </c>
      <c r="B5" s="51">
        <v>24069</v>
      </c>
      <c r="C5" s="51">
        <v>39802</v>
      </c>
      <c r="D5" s="52">
        <f>+B5-C5</f>
        <v>-15733</v>
      </c>
      <c r="F5" s="35" t="s">
        <v>127</v>
      </c>
      <c r="G5" s="55">
        <f>123.45+10577.99+7.07</f>
        <v>10708.51</v>
      </c>
    </row>
    <row r="6" spans="1:7">
      <c r="A6" s="53" t="s">
        <v>37</v>
      </c>
      <c r="B6" s="51">
        <v>19761</v>
      </c>
      <c r="C6" s="51">
        <v>8022</v>
      </c>
      <c r="D6" s="52">
        <f>+B6-C6</f>
        <v>11739</v>
      </c>
      <c r="G6" s="56">
        <f>+G2+G3-G4-G5</f>
        <v>32444.15</v>
      </c>
    </row>
    <row r="7" spans="1:7">
      <c r="A7" s="45"/>
      <c r="B7" s="51">
        <f>+SUM(B1:B6)</f>
        <v>102353</v>
      </c>
      <c r="C7" s="51">
        <f>+SUM(C1:C6)</f>
        <v>47824</v>
      </c>
      <c r="D7" s="51">
        <f>+SUM(D1:D6)</f>
        <v>54529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2</vt:i4>
      </vt:variant>
    </vt:vector>
  </HeadingPairs>
  <TitlesOfParts>
    <vt:vector size="8" baseType="lpstr">
      <vt:lpstr>Cuenta Corriente NTL</vt:lpstr>
      <vt:lpstr>Cuenta Corriente CH</vt:lpstr>
      <vt:lpstr>Ownland</vt:lpstr>
      <vt:lpstr>Frontier</vt:lpstr>
      <vt:lpstr>Becky</vt:lpstr>
      <vt:lpstr>Resumen</vt:lpstr>
      <vt:lpstr>'Cuenta Corriente CH'!Títulos_a_imprimir</vt:lpstr>
      <vt:lpstr>'Cuenta Corriente NTL'!Títulos_a_imprimir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Logistica 1</dc:creator>
  <cp:lastModifiedBy>Recursos Humanos</cp:lastModifiedBy>
  <cp:lastPrinted>2026-02-02T15:24:18Z</cp:lastPrinted>
  <dcterms:created xsi:type="dcterms:W3CDTF">2024-11-11T20:59:14Z</dcterms:created>
  <dcterms:modified xsi:type="dcterms:W3CDTF">2026-09-11T15:13:33Z</dcterms:modified>
</cp:coreProperties>
</file>